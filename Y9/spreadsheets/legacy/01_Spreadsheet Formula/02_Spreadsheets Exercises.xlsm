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harts/chart1.xml" ContentType="application/vnd.openxmlformats-officedocument.drawingml.chart+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4" codeName="{4D1C537B-E38A-612A-F078-A93A15B4B7F4}"/>
  <workbookPr codeName="ThisWorkbook"/>
  <mc:AlternateContent xmlns:mc="http://schemas.openxmlformats.org/markup-compatibility/2006">
    <mc:Choice Requires="x15">
      <x15ac:absPath xmlns:x15ac="http://schemas.microsoft.com/office/spreadsheetml/2010/11/ac" url="\\mrred\documents\admin\ashley.hiscocks\GitHub\amg-workbooks\Y9\spreadsheets\legacy\01_Spreadsheet Formula\"/>
    </mc:Choice>
  </mc:AlternateContent>
  <xr:revisionPtr revIDLastSave="0" documentId="13_ncr:1_{7D49C7B7-DCAD-41E1-A07E-46E464660268}" xr6:coauthVersionLast="47" xr6:coauthVersionMax="47" xr10:uidLastSave="{00000000-0000-0000-0000-000000000000}"/>
  <bookViews>
    <workbookView xWindow="28680" yWindow="-120" windowWidth="29040" windowHeight="15720" tabRatio="661" activeTab="6" xr2:uid="{00000000-000D-0000-FFFF-FFFF00000000}"/>
  </bookViews>
  <sheets>
    <sheet name="Exercise 1" sheetId="2" r:id="rId1"/>
    <sheet name="Exercise 2" sheetId="1" r:id="rId2"/>
    <sheet name="Exercise 3" sheetId="5" r:id="rId3"/>
    <sheet name="Exercise 4" sheetId="4" r:id="rId4"/>
    <sheet name="Exercise 5" sheetId="3" r:id="rId5"/>
    <sheet name="Exercise 6" sheetId="6" r:id="rId6"/>
    <sheet name="Exercise 7" sheetId="11" r:id="rId7"/>
    <sheet name="Exercise 8" sheetId="12" r:id="rId8"/>
    <sheet name="Exercise 9" sheetId="13" r:id="rId9"/>
    <sheet name="Answers" sheetId="15" state="hidden" r:id="rId10"/>
  </sheets>
  <definedNames>
    <definedName name="GROSS_WAGE">'Exercise 5'!$F$3:$F$13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R13" i="15" l="1"/>
  <c r="Q13" i="15"/>
  <c r="Q14" i="15" s="1"/>
  <c r="F6" i="6"/>
  <c r="F7" i="6"/>
  <c r="F8" i="6"/>
  <c r="F9" i="6"/>
  <c r="F10" i="6"/>
  <c r="F11" i="6"/>
  <c r="F12" i="6"/>
  <c r="F13" i="6"/>
  <c r="F5" i="6"/>
  <c r="F4" i="6"/>
</calcChain>
</file>

<file path=xl/sharedStrings.xml><?xml version="1.0" encoding="utf-8"?>
<sst xmlns="http://schemas.openxmlformats.org/spreadsheetml/2006/main" count="909" uniqueCount="698">
  <si>
    <t>Item</t>
  </si>
  <si>
    <t>Number sold</t>
  </si>
  <si>
    <t>Tuck Shop Weekly sales</t>
  </si>
  <si>
    <t>Mars Bar</t>
  </si>
  <si>
    <t>Snickers</t>
  </si>
  <si>
    <t>Kit Kat</t>
  </si>
  <si>
    <t>Lion Bar</t>
  </si>
  <si>
    <t>Crisps</t>
  </si>
  <si>
    <t>Bananas</t>
  </si>
  <si>
    <t>Apples</t>
  </si>
  <si>
    <t>Cookies</t>
  </si>
  <si>
    <t>Fizzy drink cans</t>
  </si>
  <si>
    <t>Panda pops</t>
  </si>
  <si>
    <t>Wine gums</t>
  </si>
  <si>
    <t>Total Taken</t>
  </si>
  <si>
    <t>Total taken for week</t>
  </si>
  <si>
    <t>Price sold for</t>
  </si>
  <si>
    <t>Price bought for</t>
  </si>
  <si>
    <t>Pasties</t>
  </si>
  <si>
    <t>Sausage rolls</t>
  </si>
  <si>
    <t>Pies</t>
  </si>
  <si>
    <t>Profit per Item</t>
  </si>
  <si>
    <t>Total Profit per week</t>
  </si>
  <si>
    <t>Total Profit Per Item</t>
  </si>
  <si>
    <t>Answer these questions by entering formulas into the coloured areas</t>
  </si>
  <si>
    <t>Add</t>
  </si>
  <si>
    <t>Minus</t>
  </si>
  <si>
    <t>Multiply</t>
  </si>
  <si>
    <t>Divide</t>
  </si>
  <si>
    <t>Now add up this series of rows and columns using the SUM function.</t>
  </si>
  <si>
    <t>Price Bought for</t>
  </si>
  <si>
    <t>Price Sold for</t>
  </si>
  <si>
    <t>Number Sold In Month</t>
  </si>
  <si>
    <t>Total Profit</t>
  </si>
  <si>
    <t>Pontypandy Pine Warehouse</t>
  </si>
  <si>
    <t>Chest of drawers (large)</t>
  </si>
  <si>
    <t>Chest of drawers (medium)</t>
  </si>
  <si>
    <t>Chest of drawers (small)</t>
  </si>
  <si>
    <t>Coffee table (small)</t>
  </si>
  <si>
    <t>Coffee table (large)</t>
  </si>
  <si>
    <t>Rocking chair</t>
  </si>
  <si>
    <t>Dining table</t>
  </si>
  <si>
    <t>Dining chairs</t>
  </si>
  <si>
    <t>Stool</t>
  </si>
  <si>
    <t>Ottoman chest</t>
  </si>
  <si>
    <t>Hat stand</t>
  </si>
  <si>
    <t>Wardrobe (single)</t>
  </si>
  <si>
    <t>Wardrobe (double)</t>
  </si>
  <si>
    <t>Bed single</t>
  </si>
  <si>
    <t>Bed double</t>
  </si>
  <si>
    <t>Total Profit for Month</t>
  </si>
  <si>
    <t>Pontypandy Pine Warehouse Wages Spreadsheet</t>
  </si>
  <si>
    <t>Forename</t>
  </si>
  <si>
    <t>Surname</t>
  </si>
  <si>
    <t>Job title</t>
  </si>
  <si>
    <t>Hourly Wage rate</t>
  </si>
  <si>
    <t>Hours worked in week</t>
  </si>
  <si>
    <t>Andrew</t>
  </si>
  <si>
    <t>Harvey</t>
  </si>
  <si>
    <t xml:space="preserve">John </t>
  </si>
  <si>
    <t>Chard</t>
  </si>
  <si>
    <t>Angela</t>
  </si>
  <si>
    <t>Davies</t>
  </si>
  <si>
    <t>Rhys</t>
  </si>
  <si>
    <t>Humphries</t>
  </si>
  <si>
    <t>Melanie</t>
  </si>
  <si>
    <t>Harris</t>
  </si>
  <si>
    <t>Patrick</t>
  </si>
  <si>
    <t>Delaney</t>
  </si>
  <si>
    <t>Parvet</t>
  </si>
  <si>
    <t>Singh</t>
  </si>
  <si>
    <t>Michael</t>
  </si>
  <si>
    <t>Sheldon</t>
  </si>
  <si>
    <t>Manager</t>
  </si>
  <si>
    <t>Chief Salesperson</t>
  </si>
  <si>
    <t>Salesperson</t>
  </si>
  <si>
    <t>Delivery driver</t>
  </si>
  <si>
    <t>Drivers assistant</t>
  </si>
  <si>
    <t>Accounts secretary</t>
  </si>
  <si>
    <t>Warehouse Supervisor</t>
  </si>
  <si>
    <t>Mark</t>
  </si>
  <si>
    <t xml:space="preserve"> Robinson</t>
  </si>
  <si>
    <t>Jason</t>
  </si>
  <si>
    <t>Eynon</t>
  </si>
  <si>
    <t>General Assistant</t>
  </si>
  <si>
    <t>Gross Wage (Hourly Wage * Hours weeked)</t>
  </si>
  <si>
    <t>Total Wages for week</t>
  </si>
  <si>
    <t>National Insurance @ 10% (0.1)</t>
  </si>
  <si>
    <t>Nett (Take Home) Pay (Gross Pay - Deductions)</t>
  </si>
  <si>
    <t>Total Deductions</t>
  </si>
  <si>
    <t xml:space="preserve">Total 'Take Home' Wages for week </t>
  </si>
  <si>
    <t>Deductions</t>
  </si>
  <si>
    <t>Tax @ 23% (0.23)</t>
  </si>
  <si>
    <t>Evans</t>
  </si>
  <si>
    <t>Matthew</t>
  </si>
  <si>
    <t>Fish</t>
  </si>
  <si>
    <t>Myfanwy</t>
  </si>
  <si>
    <t>Griffiths</t>
  </si>
  <si>
    <t>Amy</t>
  </si>
  <si>
    <t>Johnson</t>
  </si>
  <si>
    <t>Geraint</t>
  </si>
  <si>
    <t>Mayhew</t>
  </si>
  <si>
    <t>Mc Kenna</t>
  </si>
  <si>
    <t>Iqbal</t>
  </si>
  <si>
    <t>Mosamma</t>
  </si>
  <si>
    <t>Calum</t>
  </si>
  <si>
    <t>Pattison</t>
  </si>
  <si>
    <t>Imran</t>
  </si>
  <si>
    <t>Shah</t>
  </si>
  <si>
    <t>Brenda</t>
  </si>
  <si>
    <t>Smith</t>
  </si>
  <si>
    <t>David</t>
  </si>
  <si>
    <t>Yuen</t>
  </si>
  <si>
    <t>Maths</t>
  </si>
  <si>
    <t>English</t>
  </si>
  <si>
    <t>Science</t>
  </si>
  <si>
    <t>Geography</t>
  </si>
  <si>
    <t>History</t>
  </si>
  <si>
    <t>Welsh</t>
  </si>
  <si>
    <t>French</t>
  </si>
  <si>
    <t>Average</t>
  </si>
  <si>
    <t>Maximum</t>
  </si>
  <si>
    <t>Minimum</t>
  </si>
  <si>
    <t>Range</t>
  </si>
  <si>
    <t>School end of year exam marks(%)</t>
  </si>
  <si>
    <t>Gender</t>
  </si>
  <si>
    <t>M</t>
  </si>
  <si>
    <t>F</t>
  </si>
  <si>
    <t>Jane</t>
  </si>
  <si>
    <t>Andrea</t>
  </si>
  <si>
    <t>Pontypandy Pine Warehouse monthly profit / loss Spreadsheet</t>
  </si>
  <si>
    <t>Monthly Outgoings (Money Spent by Company)</t>
  </si>
  <si>
    <t>Income for Month (Money from Sales)</t>
  </si>
  <si>
    <t>Description</t>
  </si>
  <si>
    <t>Amount</t>
  </si>
  <si>
    <t>Purchase of furniture</t>
  </si>
  <si>
    <t>Sales of furniture</t>
  </si>
  <si>
    <t>Staff wages</t>
  </si>
  <si>
    <t>Building Rental</t>
  </si>
  <si>
    <t>Gas and Electricity</t>
  </si>
  <si>
    <t>Advertising</t>
  </si>
  <si>
    <t>Total Outgoings for Month</t>
  </si>
  <si>
    <t>Total Income for Month</t>
  </si>
  <si>
    <t>Total Monthly Profit / Loss (Income - Outgoings)</t>
  </si>
  <si>
    <t>Average Weekly Profit / Income for Pine Warehouse Owner- Mr. Edwards</t>
  </si>
  <si>
    <t>Monthly Budget Spreadsheet for Miss.Julie Driscoll</t>
  </si>
  <si>
    <t>Monthly Outgoings (Average money spent in month)</t>
  </si>
  <si>
    <t xml:space="preserve">Income for Month </t>
  </si>
  <si>
    <t>Mortgage</t>
  </si>
  <si>
    <t xml:space="preserve">Wages (from job as Computer Programmer) </t>
  </si>
  <si>
    <t>Food and toiletries</t>
  </si>
  <si>
    <t>Rent from lodger (Kim Davies)</t>
  </si>
  <si>
    <t>Car (Petrol, insurance etc.)</t>
  </si>
  <si>
    <t>Water rates</t>
  </si>
  <si>
    <t>Council Tax</t>
  </si>
  <si>
    <t>Student Loan</t>
  </si>
  <si>
    <t>Telephone</t>
  </si>
  <si>
    <t>Internet</t>
  </si>
  <si>
    <t>Insurance</t>
  </si>
  <si>
    <t>Average Weekly Amount to Spend on Entertainment, Savings, Decorating, Holidays etc.</t>
  </si>
  <si>
    <t>Exercise 1</t>
  </si>
  <si>
    <t>C5</t>
  </si>
  <si>
    <t>D5</t>
  </si>
  <si>
    <t>Right Formula</t>
  </si>
  <si>
    <t>Incorrect</t>
  </si>
  <si>
    <t>=C3+C4</t>
  </si>
  <si>
    <t>=C4+C3</t>
  </si>
  <si>
    <t>F5</t>
  </si>
  <si>
    <t>G5</t>
  </si>
  <si>
    <t>Right Total</t>
  </si>
  <si>
    <t>Correct</t>
  </si>
  <si>
    <t>=F3+F4</t>
  </si>
  <si>
    <t>=F4+F3</t>
  </si>
  <si>
    <t>I5</t>
  </si>
  <si>
    <t>J5</t>
  </si>
  <si>
    <t>Wrong Formula</t>
  </si>
  <si>
    <t>=I3+I4</t>
  </si>
  <si>
    <t>=I4+I3</t>
  </si>
  <si>
    <t>L5</t>
  </si>
  <si>
    <t>Wrong Total</t>
  </si>
  <si>
    <t>=L3+L4</t>
  </si>
  <si>
    <t>=L4+L3</t>
  </si>
  <si>
    <t>C9</t>
  </si>
  <si>
    <t>D9</t>
  </si>
  <si>
    <t>=C7-C8</t>
  </si>
  <si>
    <t>F9</t>
  </si>
  <si>
    <t>G9</t>
  </si>
  <si>
    <t>=F7-F8</t>
  </si>
  <si>
    <t>I9</t>
  </si>
  <si>
    <t>J9</t>
  </si>
  <si>
    <t>=I7-I8</t>
  </si>
  <si>
    <t>L9</t>
  </si>
  <si>
    <t>=L7-L8</t>
  </si>
  <si>
    <t>C13</t>
  </si>
  <si>
    <t>D13</t>
  </si>
  <si>
    <t>=C11*C12</t>
  </si>
  <si>
    <t>=C12*C11</t>
  </si>
  <si>
    <t>F13</t>
  </si>
  <si>
    <t>G13</t>
  </si>
  <si>
    <t>=F11*F12</t>
  </si>
  <si>
    <t>=F12*F11</t>
  </si>
  <si>
    <t>I13</t>
  </si>
  <si>
    <t>J13</t>
  </si>
  <si>
    <t>=I11*I12</t>
  </si>
  <si>
    <t>=I12*I11</t>
  </si>
  <si>
    <t>L13</t>
  </si>
  <si>
    <t>=L11*L12</t>
  </si>
  <si>
    <t>=L12*L11</t>
  </si>
  <si>
    <t>C17</t>
  </si>
  <si>
    <t>D17</t>
  </si>
  <si>
    <t>=C15/C16</t>
  </si>
  <si>
    <t>F17</t>
  </si>
  <si>
    <t>G17</t>
  </si>
  <si>
    <t>=F15/F16</t>
  </si>
  <si>
    <t>I17</t>
  </si>
  <si>
    <t>J17</t>
  </si>
  <si>
    <t>=I15/I16</t>
  </si>
  <si>
    <t>L17</t>
  </si>
  <si>
    <t>=L15/L16</t>
  </si>
  <si>
    <t>Total Score</t>
  </si>
  <si>
    <t>I19</t>
  </si>
  <si>
    <t>J19</t>
  </si>
  <si>
    <t>=SUM(C19:H19)</t>
  </si>
  <si>
    <t>=SUM(H19:C19)</t>
  </si>
  <si>
    <t>Formula Score</t>
  </si>
  <si>
    <t>I20</t>
  </si>
  <si>
    <t>=SUM(C20:H20)</t>
  </si>
  <si>
    <t>=SUM(H20:C20)</t>
  </si>
  <si>
    <t>Percentage</t>
  </si>
  <si>
    <t>I21</t>
  </si>
  <si>
    <t>=SUM(C21:H21)</t>
  </si>
  <si>
    <t>=SUM(H21:C21)</t>
  </si>
  <si>
    <t>I22</t>
  </si>
  <si>
    <t>=SUM(C22:H22)</t>
  </si>
  <si>
    <t>=SUM(H22:C22)</t>
  </si>
  <si>
    <t>C23</t>
  </si>
  <si>
    <t>=SUM(C19:C22)</t>
  </si>
  <si>
    <t>=SUM(C22:C19)</t>
  </si>
  <si>
    <t>D23</t>
  </si>
  <si>
    <t>=SUM(D19:D22)</t>
  </si>
  <si>
    <t>=SUM(D22:D19)</t>
  </si>
  <si>
    <t>E23</t>
  </si>
  <si>
    <t>=SUM(E19:E22)</t>
  </si>
  <si>
    <t>=SUM(E22:E19)</t>
  </si>
  <si>
    <t>F23</t>
  </si>
  <si>
    <t>=SUM(F19:F22)</t>
  </si>
  <si>
    <t>=SUM(F22:F19)</t>
  </si>
  <si>
    <t>G23</t>
  </si>
  <si>
    <t>=SUM(G19:G22)</t>
  </si>
  <si>
    <t>=SUM(G22:G19)</t>
  </si>
  <si>
    <t>H23</t>
  </si>
  <si>
    <t>=SUM(H19:H22)</t>
  </si>
  <si>
    <t>=SUM(H22:H19)</t>
  </si>
  <si>
    <t>I23</t>
  </si>
  <si>
    <t>=SUM(I19:I22)</t>
  </si>
  <si>
    <t>=SUM(C23:H23)</t>
  </si>
  <si>
    <t>Exercise 2</t>
  </si>
  <si>
    <t>D3</t>
  </si>
  <si>
    <t>F16</t>
  </si>
  <si>
    <t>=B3*C3</t>
  </si>
  <si>
    <t>=C3*B3</t>
  </si>
  <si>
    <t>D4</t>
  </si>
  <si>
    <t>=B4*C4</t>
  </si>
  <si>
    <t>=C4*B4</t>
  </si>
  <si>
    <t>=B5*C5</t>
  </si>
  <si>
    <t>=C5*B5</t>
  </si>
  <si>
    <t>D6</t>
  </si>
  <si>
    <t>=B6*C6</t>
  </si>
  <si>
    <t>=C6*B6</t>
  </si>
  <si>
    <t>D7</t>
  </si>
  <si>
    <t>=B7*C7</t>
  </si>
  <si>
    <t>=C7*B7</t>
  </si>
  <si>
    <t>D8</t>
  </si>
  <si>
    <t>=B8*C8</t>
  </si>
  <si>
    <t>=C8*B8</t>
  </si>
  <si>
    <t>=B9*C9</t>
  </si>
  <si>
    <t>=C9*B9</t>
  </si>
  <si>
    <t>D10</t>
  </si>
  <si>
    <t>=B10*C10</t>
  </si>
  <si>
    <t>=C10*B10</t>
  </si>
  <si>
    <t>D11</t>
  </si>
  <si>
    <t>=B11*C11</t>
  </si>
  <si>
    <t>=C11*B11</t>
  </si>
  <si>
    <t>D12</t>
  </si>
  <si>
    <t>=B12*C12</t>
  </si>
  <si>
    <t>=C12*B12</t>
  </si>
  <si>
    <t>=B13*C13</t>
  </si>
  <si>
    <t>=C13*B13</t>
  </si>
  <si>
    <t>D14</t>
  </si>
  <si>
    <t>=SUM(D3:D13)</t>
  </si>
  <si>
    <t>=SUM(D13:D3)</t>
  </si>
  <si>
    <t>Exercise 3</t>
  </si>
  <si>
    <t>E3</t>
  </si>
  <si>
    <t>H19</t>
  </si>
  <si>
    <t>=C3-D3</t>
  </si>
  <si>
    <t>E4</t>
  </si>
  <si>
    <t>=C4-D4</t>
  </si>
  <si>
    <t>E5</t>
  </si>
  <si>
    <t>=C5-D5</t>
  </si>
  <si>
    <t>E6</t>
  </si>
  <si>
    <t>=C6-D6</t>
  </si>
  <si>
    <t>E7</t>
  </si>
  <si>
    <t>=C7-D7</t>
  </si>
  <si>
    <t>E8</t>
  </si>
  <si>
    <t>=C8-D8</t>
  </si>
  <si>
    <t>E9</t>
  </si>
  <si>
    <t>=C9-D9</t>
  </si>
  <si>
    <t>E10</t>
  </si>
  <si>
    <t>=C10-D10</t>
  </si>
  <si>
    <t>E11</t>
  </si>
  <si>
    <t>=C11-D11</t>
  </si>
  <si>
    <t>E12</t>
  </si>
  <si>
    <t>=C12-D12</t>
  </si>
  <si>
    <t>E13</t>
  </si>
  <si>
    <t>=C13-D13</t>
  </si>
  <si>
    <t>E14</t>
  </si>
  <si>
    <t>=C14-D14</t>
  </si>
  <si>
    <t>E15</t>
  </si>
  <si>
    <t>=C15-D15</t>
  </si>
  <si>
    <t>E16</t>
  </si>
  <si>
    <t>=C16-D16</t>
  </si>
  <si>
    <t>F3</t>
  </si>
  <si>
    <t>=B3*E3</t>
  </si>
  <si>
    <t>=E3*B3</t>
  </si>
  <si>
    <t>F4</t>
  </si>
  <si>
    <t>=B4*E4</t>
  </si>
  <si>
    <t>=E4*B4</t>
  </si>
  <si>
    <t>=B5*E5</t>
  </si>
  <si>
    <t>=E5*B5</t>
  </si>
  <si>
    <t>F6</t>
  </si>
  <si>
    <t>=B6*E6</t>
  </si>
  <si>
    <t>=E6*B6</t>
  </si>
  <si>
    <t>F7</t>
  </si>
  <si>
    <t>=B7*E7</t>
  </si>
  <si>
    <t>=E7*B7</t>
  </si>
  <si>
    <t>F8</t>
  </si>
  <si>
    <t>=B8*E8</t>
  </si>
  <si>
    <t>=E8*B8</t>
  </si>
  <si>
    <t>=B9*E9</t>
  </si>
  <si>
    <t>=E9*B9</t>
  </si>
  <si>
    <t>F10</t>
  </si>
  <si>
    <t>=B10*E10</t>
  </si>
  <si>
    <t>=E10*B10</t>
  </si>
  <si>
    <t>F11</t>
  </si>
  <si>
    <t>=B11*E11</t>
  </si>
  <si>
    <t>=E11*B11</t>
  </si>
  <si>
    <t>F12</t>
  </si>
  <si>
    <t>=B12*E12</t>
  </si>
  <si>
    <t>=E12*B12</t>
  </si>
  <si>
    <t>=B13*E13</t>
  </si>
  <si>
    <t>=E13*B13</t>
  </si>
  <si>
    <t>F14</t>
  </si>
  <si>
    <t>=B14*E14</t>
  </si>
  <si>
    <t>=E14*B14</t>
  </si>
  <si>
    <t>F15</t>
  </si>
  <si>
    <t>=B15*E15</t>
  </si>
  <si>
    <t>=E15*B15</t>
  </si>
  <si>
    <t>=B16*E16</t>
  </si>
  <si>
    <t>=E16*B16</t>
  </si>
  <si>
    <t>=SUM(F3:F16)</t>
  </si>
  <si>
    <t>=SUM(F16:F3)</t>
  </si>
  <si>
    <t>Exercise 4</t>
  </si>
  <si>
    <t>=C3-B3</t>
  </si>
  <si>
    <t>=C4-B4</t>
  </si>
  <si>
    <t>=C5-B5</t>
  </si>
  <si>
    <t>=C6-B6</t>
  </si>
  <si>
    <t>=C7-B7</t>
  </si>
  <si>
    <t>=C8-B8</t>
  </si>
  <si>
    <t>=C9-B9</t>
  </si>
  <si>
    <t>=C10-B10</t>
  </si>
  <si>
    <t>=C11-B11</t>
  </si>
  <si>
    <t>=C12-B12</t>
  </si>
  <si>
    <t>=C13-B13</t>
  </si>
  <si>
    <t>=C14-B14</t>
  </si>
  <si>
    <t>D15</t>
  </si>
  <si>
    <t>=C15-B15</t>
  </si>
  <si>
    <t>D16</t>
  </si>
  <si>
    <t>=C16-B16</t>
  </si>
  <si>
    <t>=C17-B17</t>
  </si>
  <si>
    <t>=E3*D3</t>
  </si>
  <si>
    <t>=D3*E3</t>
  </si>
  <si>
    <t>=E4*D4</t>
  </si>
  <si>
    <t>=D4*E4</t>
  </si>
  <si>
    <t>=E5*D5</t>
  </si>
  <si>
    <t>=D5*E5</t>
  </si>
  <si>
    <t>=E6*D6</t>
  </si>
  <si>
    <t>=D6*E6</t>
  </si>
  <si>
    <t>=E7*D7</t>
  </si>
  <si>
    <t>=D7*E7</t>
  </si>
  <si>
    <t>=E8*D8</t>
  </si>
  <si>
    <t>=D8*E8</t>
  </si>
  <si>
    <t>=E9*D9</t>
  </si>
  <si>
    <t>=D9*E9</t>
  </si>
  <si>
    <t>=E10*D10</t>
  </si>
  <si>
    <t>=D10*E10</t>
  </si>
  <si>
    <t>=E11*D11</t>
  </si>
  <si>
    <t>=D11*E11</t>
  </si>
  <si>
    <t>=E12*D12</t>
  </si>
  <si>
    <t>=D12*E12</t>
  </si>
  <si>
    <t>=E13*D13</t>
  </si>
  <si>
    <t>=D13*E13</t>
  </si>
  <si>
    <t>=E14*D14</t>
  </si>
  <si>
    <t>=D14*E14</t>
  </si>
  <si>
    <t>=E15*D15</t>
  </si>
  <si>
    <t>=D15*E15</t>
  </si>
  <si>
    <t>=E16*D16</t>
  </si>
  <si>
    <t>=D16*E16</t>
  </si>
  <si>
    <t>=E17*D17</t>
  </si>
  <si>
    <t>=D17*E17</t>
  </si>
  <si>
    <t>F18</t>
  </si>
  <si>
    <t>=SUM(F3:F17)</t>
  </si>
  <si>
    <t>=SUM(F17:F3)</t>
  </si>
  <si>
    <t>Exercise 5</t>
  </si>
  <si>
    <t>=SUM(F3:F12)</t>
  </si>
  <si>
    <t>=SUM(F12:F3)</t>
  </si>
  <si>
    <t>Exercise 6</t>
  </si>
  <si>
    <t>=SUM(F4:F13)</t>
  </si>
  <si>
    <t>=SUM(F13:F4)</t>
  </si>
  <si>
    <t>G4</t>
  </si>
  <si>
    <t>=F4*0.23</t>
  </si>
  <si>
    <t>=0.23*F4</t>
  </si>
  <si>
    <t>=F5*0.23</t>
  </si>
  <si>
    <t>=0.23*F5</t>
  </si>
  <si>
    <t>G6</t>
  </si>
  <si>
    <t>=F6*0.23</t>
  </si>
  <si>
    <t>=0.23*F6</t>
  </si>
  <si>
    <t>G7</t>
  </si>
  <si>
    <t>=F7*0.23</t>
  </si>
  <si>
    <t>=0.23*F7</t>
  </si>
  <si>
    <t>G8</t>
  </si>
  <si>
    <t>=F8*0.23</t>
  </si>
  <si>
    <t>=0.23*F8</t>
  </si>
  <si>
    <t>=F9*0.23</t>
  </si>
  <si>
    <t>=0.23*F9</t>
  </si>
  <si>
    <t>G10</t>
  </si>
  <si>
    <t>=F10*0.23</t>
  </si>
  <si>
    <t>=0.23*F10</t>
  </si>
  <si>
    <t>G11</t>
  </si>
  <si>
    <t>=F11*0.23</t>
  </si>
  <si>
    <t>=0.23*F11</t>
  </si>
  <si>
    <t>G12</t>
  </si>
  <si>
    <t>=F12*0.23</t>
  </si>
  <si>
    <t>=0.23*F12</t>
  </si>
  <si>
    <t>=F13*0.23</t>
  </si>
  <si>
    <t>=0.23*F13</t>
  </si>
  <si>
    <t>H4</t>
  </si>
  <si>
    <t>=F4*0.1</t>
  </si>
  <si>
    <t>=0.1*F4</t>
  </si>
  <si>
    <t>H5</t>
  </si>
  <si>
    <t>=F5*0.1</t>
  </si>
  <si>
    <t>=0.1*F5</t>
  </si>
  <si>
    <t>H6</t>
  </si>
  <si>
    <t>=F6*0.1</t>
  </si>
  <si>
    <t>=0.1*F6</t>
  </si>
  <si>
    <t>H7</t>
  </si>
  <si>
    <t>=F7*0.1</t>
  </si>
  <si>
    <t>=0.1*F7</t>
  </si>
  <si>
    <t>H8</t>
  </si>
  <si>
    <t>=F8*0.1</t>
  </si>
  <si>
    <t>=0.1*F8</t>
  </si>
  <si>
    <t>H9</t>
  </si>
  <si>
    <t>=F9*0.1</t>
  </si>
  <si>
    <t>=0.1*F9</t>
  </si>
  <si>
    <t>H10</t>
  </si>
  <si>
    <t>=F10*0.1</t>
  </si>
  <si>
    <t>=0.1*F10</t>
  </si>
  <si>
    <t>H11</t>
  </si>
  <si>
    <t>=F11*0.1</t>
  </si>
  <si>
    <t>=0.1*F11</t>
  </si>
  <si>
    <t>H12</t>
  </si>
  <si>
    <t>=F12*0.1</t>
  </si>
  <si>
    <t>=0.1*F12</t>
  </si>
  <si>
    <t>H13</t>
  </si>
  <si>
    <t>=F13*0.1</t>
  </si>
  <si>
    <t>=0.1*F13</t>
  </si>
  <si>
    <t>I4</t>
  </si>
  <si>
    <t>=G4+H4</t>
  </si>
  <si>
    <t>=H4+G4</t>
  </si>
  <si>
    <t>=G5+H5</t>
  </si>
  <si>
    <t>=H5+G5</t>
  </si>
  <si>
    <t>I6</t>
  </si>
  <si>
    <t>=G6+H6</t>
  </si>
  <si>
    <t>=H6+G6</t>
  </si>
  <si>
    <t>I7</t>
  </si>
  <si>
    <t>=G7+H7</t>
  </si>
  <si>
    <t>=H7+G7</t>
  </si>
  <si>
    <t>I8</t>
  </si>
  <si>
    <t>=G8+H8</t>
  </si>
  <si>
    <t>=H8+G8</t>
  </si>
  <si>
    <t>=G9+H9</t>
  </si>
  <si>
    <t>=H9+G9</t>
  </si>
  <si>
    <t>I10</t>
  </si>
  <si>
    <t>=G10+H10</t>
  </si>
  <si>
    <t>=H10+G10</t>
  </si>
  <si>
    <t>I11</t>
  </si>
  <si>
    <t>=G11+H11</t>
  </si>
  <si>
    <t>=H11+G11</t>
  </si>
  <si>
    <t>I12</t>
  </si>
  <si>
    <t>=G12+H12</t>
  </si>
  <si>
    <t>=H12+G12</t>
  </si>
  <si>
    <t>=G13+H13</t>
  </si>
  <si>
    <t>=H13+G13</t>
  </si>
  <si>
    <t>J4</t>
  </si>
  <si>
    <t>=F4-I4</t>
  </si>
  <si>
    <t>=F5-I5</t>
  </si>
  <si>
    <t>J6</t>
  </si>
  <si>
    <t>=F6-I6</t>
  </si>
  <si>
    <t>J7</t>
  </si>
  <si>
    <t>=F7-I7</t>
  </si>
  <si>
    <t>J8</t>
  </si>
  <si>
    <t>=F8-I8</t>
  </si>
  <si>
    <t>=F9-I9</t>
  </si>
  <si>
    <t>J10</t>
  </si>
  <si>
    <t>=F10-I10</t>
  </si>
  <si>
    <t>J11</t>
  </si>
  <si>
    <t>=F11-I11</t>
  </si>
  <si>
    <t>J12</t>
  </si>
  <si>
    <t>=F12-I12</t>
  </si>
  <si>
    <t>=F13-I13</t>
  </si>
  <si>
    <t>J14</t>
  </si>
  <si>
    <t>=SUM(J4:J13)</t>
  </si>
  <si>
    <t>=SUM(J13:J4)</t>
  </si>
  <si>
    <t>Exercise 8</t>
  </si>
  <si>
    <t>G18</t>
  </si>
  <si>
    <t>=C7/A7</t>
  </si>
  <si>
    <t>G19</t>
  </si>
  <si>
    <t>=C8/A8</t>
  </si>
  <si>
    <t>=C9/A9</t>
  </si>
  <si>
    <t>=C10/A10</t>
  </si>
  <si>
    <t>=C11/A11</t>
  </si>
  <si>
    <t>=C12/A12</t>
  </si>
  <si>
    <t>=C13/A13</t>
  </si>
  <si>
    <t>=C14/A14</t>
  </si>
  <si>
    <t>=C15/A15</t>
  </si>
  <si>
    <t>=C16/A16</t>
  </si>
  <si>
    <t>=C17/A17</t>
  </si>
  <si>
    <t>D18</t>
  </si>
  <si>
    <t>=C18/A18</t>
  </si>
  <si>
    <t>D19</t>
  </si>
  <si>
    <t>=C19/A19</t>
  </si>
  <si>
    <t>B21</t>
  </si>
  <si>
    <t>=MIN(D7:D19)</t>
  </si>
  <si>
    <t>=MIN(D19:D7)</t>
  </si>
  <si>
    <t>B22</t>
  </si>
  <si>
    <t>=MAX(D7:D19)</t>
  </si>
  <si>
    <t>=MAX(D19:D7)</t>
  </si>
  <si>
    <t>Exercise 9</t>
  </si>
  <si>
    <t>=C3/C4</t>
  </si>
  <si>
    <t>=D3/D5</t>
  </si>
  <si>
    <t>=E4*E5</t>
  </si>
  <si>
    <t>=E5*E4</t>
  </si>
  <si>
    <t>=F3/F4</t>
  </si>
  <si>
    <t>Exercise 10</t>
  </si>
  <si>
    <t>K3</t>
  </si>
  <si>
    <t>=AVERAGE(D3:J3)</t>
  </si>
  <si>
    <t>=AVERAGE(J3:D3)</t>
  </si>
  <si>
    <t>K4</t>
  </si>
  <si>
    <t>=AVERAGE(D4:J4)</t>
  </si>
  <si>
    <t>=AVERAGE(J4:D4)</t>
  </si>
  <si>
    <t>K5</t>
  </si>
  <si>
    <t>=AVERAGE(D5:J5)</t>
  </si>
  <si>
    <t>=AVERAGE(J5:D5)</t>
  </si>
  <si>
    <t>K6</t>
  </si>
  <si>
    <t>=AVERAGE(D6:J6)</t>
  </si>
  <si>
    <t>=AVERAGE(J6:D6)</t>
  </si>
  <si>
    <t>K7</t>
  </si>
  <si>
    <t>=AVERAGE(D7:J7)</t>
  </si>
  <si>
    <t>=AVERAGE(J7:D7)</t>
  </si>
  <si>
    <t>K8</t>
  </si>
  <si>
    <t>=AVERAGE(D8:J8)</t>
  </si>
  <si>
    <t>=AVERAGE(J8:D8)</t>
  </si>
  <si>
    <t>K9</t>
  </si>
  <si>
    <t>=AVERAGE(D9:J9)</t>
  </si>
  <si>
    <t>=AVERAGE(J9:D9)</t>
  </si>
  <si>
    <t>K10</t>
  </si>
  <si>
    <t>=AVERAGE(D10:J10)</t>
  </si>
  <si>
    <t>=AVERAGE(J10:D10)</t>
  </si>
  <si>
    <t>K11</t>
  </si>
  <si>
    <t>=AVERAGE(D11:J11)</t>
  </si>
  <si>
    <t>=AVERAGE(J11:D11)</t>
  </si>
  <si>
    <t>K12</t>
  </si>
  <si>
    <t>=AVERAGE(D12:J12)</t>
  </si>
  <si>
    <t>=AVERAGE(J12:D12)</t>
  </si>
  <si>
    <t>K13</t>
  </si>
  <si>
    <t>=AVERAGE(D13:J13)</t>
  </si>
  <si>
    <t>=AVERAGE(J13:D13)</t>
  </si>
  <si>
    <t>K14</t>
  </si>
  <si>
    <t>=AVERAGE(D14:J14)</t>
  </si>
  <si>
    <t>=AVERAGE(J14:D14)</t>
  </si>
  <si>
    <t>K15</t>
  </si>
  <si>
    <t>=AVERAGE(D15:J15)</t>
  </si>
  <si>
    <t>=AVERAGE(J15:D15)</t>
  </si>
  <si>
    <t>=AVERAGE(D3:D15)</t>
  </si>
  <si>
    <t>=AVERAGE(D15:D3)</t>
  </si>
  <si>
    <t>=AVERAGE(E3:E15)</t>
  </si>
  <si>
    <t>=AVERAGE(E15:E3)</t>
  </si>
  <si>
    <t>=AVERAGE(F3:F15)</t>
  </si>
  <si>
    <t>=AVERAGE(F15:F3)</t>
  </si>
  <si>
    <t>G16</t>
  </si>
  <si>
    <t>=AVERAGE(G3:G15)</t>
  </si>
  <si>
    <t>=AVERAGE(G15:G3)</t>
  </si>
  <si>
    <t>H16</t>
  </si>
  <si>
    <t>=AVERAGE(H3:H15)</t>
  </si>
  <si>
    <t>=AVERAGE(H15:H3)</t>
  </si>
  <si>
    <t>I16</t>
  </si>
  <si>
    <t>=AVERAGE(I3:I15)</t>
  </si>
  <si>
    <t>=AVERAGE(I15:I3)</t>
  </si>
  <si>
    <t>J16</t>
  </si>
  <si>
    <t>=AVERAGE(J3:J15)</t>
  </si>
  <si>
    <t>=AVERAGE(J15:J3)</t>
  </si>
  <si>
    <t>K16</t>
  </si>
  <si>
    <t>=AVERAGE(K3:K15)</t>
  </si>
  <si>
    <t>=AVERAGE(K15:K3)</t>
  </si>
  <si>
    <t>=MAX(D3:D15)</t>
  </si>
  <si>
    <t>=MAX(D15:D3)</t>
  </si>
  <si>
    <t>E17</t>
  </si>
  <si>
    <t>=MAX(E3:E15)</t>
  </si>
  <si>
    <t>=MAX(E15:E3)</t>
  </si>
  <si>
    <t>=MAX(F3:F15)</t>
  </si>
  <si>
    <t>=MAX(F15:F3)</t>
  </si>
  <si>
    <t>H17</t>
  </si>
  <si>
    <t>=MAX(I3:I15)</t>
  </si>
  <si>
    <t>=MAX(I15:I3)</t>
  </si>
  <si>
    <t>=MAX(J3:J15)</t>
  </si>
  <si>
    <t>=MAX(J15:J3)</t>
  </si>
  <si>
    <t>K17</t>
  </si>
  <si>
    <t>=MAX(K3:K15)</t>
  </si>
  <si>
    <t>=MAX(K15:K3)</t>
  </si>
  <si>
    <t>=MIN(D3:D15)</t>
  </si>
  <si>
    <t>=MIN(D15:D3)</t>
  </si>
  <si>
    <t>E18</t>
  </si>
  <si>
    <t>=MIN(E3:E15)</t>
  </si>
  <si>
    <t>=MIN(E15:E3)</t>
  </si>
  <si>
    <t>=MIN(F3:F15)</t>
  </si>
  <si>
    <t>=MIN(F15:F3)</t>
  </si>
  <si>
    <t>H18</t>
  </si>
  <si>
    <t>I18</t>
  </si>
  <si>
    <t>=MIN(I3:I15)</t>
  </si>
  <si>
    <t>=MIN(I15:I3)</t>
  </si>
  <si>
    <t>J18</t>
  </si>
  <si>
    <t>=MIN(J3:J15)</t>
  </si>
  <si>
    <t>=MIN(J15:J3)</t>
  </si>
  <si>
    <t>K18</t>
  </si>
  <si>
    <t>=MIN(K3:K15)</t>
  </si>
  <si>
    <t>=MIN(K15:K3)</t>
  </si>
  <si>
    <t>=D17-D18</t>
  </si>
  <si>
    <t>E19</t>
  </si>
  <si>
    <t>=E17-E18</t>
  </si>
  <si>
    <t>F19</t>
  </si>
  <si>
    <t>=F17-F18</t>
  </si>
  <si>
    <t>=G17-G18</t>
  </si>
  <si>
    <t>=H17-H18</t>
  </si>
  <si>
    <t>=I17-I18</t>
  </si>
  <si>
    <t>=J17-J18</t>
  </si>
  <si>
    <t>K19</t>
  </si>
  <si>
    <t>=K17-K18</t>
  </si>
  <si>
    <t>Exercise 11</t>
  </si>
  <si>
    <t>B10</t>
  </si>
  <si>
    <t>=SUM(B4:B9)</t>
  </si>
  <si>
    <t>=SUM(D4:D9)</t>
  </si>
  <si>
    <t>B12</t>
  </si>
  <si>
    <t>=D10-B10</t>
  </si>
  <si>
    <t>=B12/4</t>
  </si>
  <si>
    <t>Exercise 12</t>
  </si>
  <si>
    <t>B14</t>
  </si>
  <si>
    <t>=SUM(B4:B13)</t>
  </si>
  <si>
    <t>=SUM(B13:B4)</t>
  </si>
  <si>
    <t>=SUM(D4:D13)</t>
  </si>
  <si>
    <t>B16</t>
  </si>
  <si>
    <t>=D14-B14</t>
  </si>
  <si>
    <t>=B16/4</t>
  </si>
  <si>
    <t>Exercise</t>
  </si>
  <si>
    <t>Completed</t>
  </si>
  <si>
    <t>Start Row</t>
  </si>
  <si>
    <t>End Row</t>
  </si>
  <si>
    <t>=SUM(B4:B8)</t>
  </si>
  <si>
    <t>=D4</t>
  </si>
  <si>
    <t>=SUM(D4:D4)</t>
  </si>
  <si>
    <t>=SUM(D4:D5)</t>
  </si>
  <si>
    <t>=SUM(D4:D6)</t>
  </si>
  <si>
    <t>=SUM(D4:D7)</t>
  </si>
  <si>
    <t>=SUM(D4:D8)</t>
  </si>
  <si>
    <t>=SUM(D4:D10)</t>
  </si>
  <si>
    <t>=SUM(D4:D11)</t>
  </si>
  <si>
    <t>=SUM(D4:D12)</t>
  </si>
  <si>
    <t>=d11</t>
  </si>
  <si>
    <t>=d16</t>
  </si>
  <si>
    <t>=d7</t>
  </si>
  <si>
    <t>=MAX(G3:G15)</t>
  </si>
  <si>
    <t>=MAX(H3:H15)</t>
  </si>
  <si>
    <t>=MAX(H15:H3)</t>
  </si>
  <si>
    <t>=MAX(G15:G3)</t>
  </si>
  <si>
    <t>=MIN(G3:G15)</t>
  </si>
  <si>
    <t>=MIN(H3:H15)</t>
  </si>
  <si>
    <t>=MIN(G15:G3)</t>
  </si>
  <si>
    <t>=MIN(H15:H3)</t>
  </si>
  <si>
    <t>Total / 224</t>
  </si>
  <si>
    <t>Use appropriate formulas to fill in the shaded areas. Produce a graph that compares the total profit for each item. Format as Currency where appropriate.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</si>
</sst>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25" x14ac:knownFonts="1">
    <font>
      <sz val="10"/>
      <name val="Arial"/>
    </font>
    <font>
      <sz val="10"/>
      <name val="Arial"/>
    </font>
    <font>
      <sz val="12"/>
      <name val="Arial"/>
      <family val="2"/>
    </font>
    <font>
      <b/>
      <sz val="12"/>
      <name val="Arial"/>
      <family val="2"/>
    </font>
    <font>
      <b/>
      <sz val="10"/>
      <name val="Arial"/>
      <family val="2"/>
    </font>
    <font>
      <b/>
      <sz val="14"/>
      <name val="Arial"/>
      <family val="2"/>
    </font>
    <font>
      <sz val="14"/>
      <name val="Arial"/>
      <family val="2"/>
    </font>
    <font>
      <b/>
      <sz val="16"/>
      <color indexed="61"/>
      <name val="Algerian"/>
      <family val="5"/>
    </font>
    <font>
      <b/>
      <u/>
      <sz val="12"/>
      <name val="Arial"/>
      <family val="2"/>
    </font>
    <font>
      <u/>
      <sz val="10"/>
      <name val="Arial"/>
      <family val="2"/>
    </font>
    <font>
      <sz val="10"/>
      <name val="Arial"/>
      <family val="2"/>
    </font>
    <font>
      <sz val="14"/>
      <name val="Algerian"/>
      <family val="5"/>
    </font>
    <font>
      <sz val="12"/>
      <name val="Algerian"/>
      <family val="5"/>
    </font>
    <font>
      <b/>
      <sz val="14"/>
      <color indexed="61"/>
      <name val="Algerian"/>
      <family val="5"/>
    </font>
    <font>
      <sz val="14"/>
      <name val="Arial"/>
    </font>
    <font>
      <b/>
      <sz val="14"/>
      <color indexed="16"/>
      <name val="Bauhaus 93"/>
      <family val="5"/>
    </font>
    <font>
      <sz val="14"/>
      <color indexed="16"/>
      <name val="Bauhaus 93"/>
      <family val="5"/>
    </font>
    <font>
      <sz val="8"/>
      <name val="Arial"/>
    </font>
    <font>
      <sz val="10"/>
      <color indexed="12"/>
      <name val="Arial"/>
    </font>
    <font>
      <sz val="10"/>
      <color indexed="10"/>
      <name val="Arial"/>
    </font>
    <font>
      <sz val="10"/>
      <color indexed="9"/>
      <name val="Arial"/>
    </font>
    <font>
      <sz val="14"/>
      <color indexed="12"/>
      <name val="Arial"/>
      <family val="2"/>
    </font>
    <font>
      <sz val="12"/>
      <color indexed="12"/>
      <name val="Arial"/>
      <family val="2"/>
    </font>
    <font>
      <b/>
      <sz val="12"/>
      <color indexed="12"/>
      <name val="Arial"/>
      <family val="2"/>
    </font>
    <font>
      <b/>
      <sz val="14"/>
      <color indexed="12"/>
      <name val="Arial"/>
      <family val="2"/>
    </font>
  </fonts>
  <fills count="11">
    <fill>
      <patternFill patternType="none"/>
    </fill>
    <fill>
      <patternFill patternType="gray125"/>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47"/>
        <bgColor indexed="64"/>
      </patternFill>
    </fill>
    <fill>
      <patternFill patternType="solid">
        <fgColor indexed="43"/>
        <bgColor indexed="64"/>
      </patternFill>
    </fill>
    <fill>
      <patternFill patternType="solid">
        <fgColor indexed="13"/>
        <bgColor indexed="64"/>
      </patternFill>
    </fill>
    <fill>
      <patternFill patternType="solid">
        <fgColor indexed="44"/>
        <bgColor indexed="64"/>
      </patternFill>
    </fill>
    <fill>
      <patternFill patternType="solid">
        <fgColor indexed="46"/>
        <bgColor indexed="64"/>
      </patternFill>
    </fill>
    <fill>
      <patternFill patternType="solid">
        <fgColor indexed="45"/>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top style="thick">
        <color indexed="64"/>
      </top>
      <bottom style="thick">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s>
  <cellStyleXfs count="1">
    <xf numFmtId="0" fontId="0" fillId="0" borderId="0"/>
  </cellStyleXfs>
  <cellXfs count="138">
    <xf numFmtId="0" fontId="0" fillId="0" borderId="0" xfId="0"/>
    <xf numFmtId="0" fontId="2" fillId="0" borderId="0" xfId="0" applyFont="1"/>
    <xf numFmtId="164" fontId="2" fillId="0" borderId="0" xfId="0" applyNumberFormat="1" applyFont="1"/>
    <xf numFmtId="0" fontId="3" fillId="0" borderId="0" xfId="0" applyFont="1"/>
    <xf numFmtId="0" fontId="0" fillId="0" borderId="0" xfId="0" applyAlignment="1">
      <alignment wrapText="1"/>
    </xf>
    <xf numFmtId="4" fontId="2" fillId="0" borderId="0" xfId="0" applyNumberFormat="1" applyFont="1"/>
    <xf numFmtId="4" fontId="3" fillId="0" borderId="0" xfId="0" applyNumberFormat="1" applyFont="1"/>
    <xf numFmtId="0" fontId="3" fillId="0" borderId="1" xfId="0" applyFont="1" applyBorder="1"/>
    <xf numFmtId="0" fontId="2" fillId="0" borderId="1" xfId="0" applyFont="1" applyBorder="1"/>
    <xf numFmtId="0" fontId="3" fillId="0" borderId="1" xfId="0" applyFont="1" applyBorder="1" applyAlignment="1">
      <alignment wrapText="1"/>
    </xf>
    <xf numFmtId="164" fontId="2" fillId="0" borderId="1" xfId="0" applyNumberFormat="1" applyFont="1" applyBorder="1"/>
    <xf numFmtId="0" fontId="0" fillId="0" borderId="1" xfId="0" applyBorder="1"/>
    <xf numFmtId="0" fontId="6" fillId="0" borderId="0" xfId="0" applyFont="1"/>
    <xf numFmtId="0" fontId="5" fillId="0" borderId="0" xfId="0" applyNumberFormat="1" applyFont="1"/>
    <xf numFmtId="0" fontId="6" fillId="0" borderId="0" xfId="0" applyNumberFormat="1" applyFont="1"/>
    <xf numFmtId="0" fontId="6" fillId="0" borderId="0" xfId="0" applyNumberFormat="1" applyFont="1" applyAlignment="1">
      <alignment wrapText="1"/>
    </xf>
    <xf numFmtId="0" fontId="6" fillId="0" borderId="1" xfId="0" applyNumberFormat="1" applyFont="1" applyBorder="1"/>
    <xf numFmtId="0" fontId="6" fillId="0" borderId="2" xfId="0" applyNumberFormat="1" applyFont="1" applyBorder="1"/>
    <xf numFmtId="0" fontId="3" fillId="0" borderId="0" xfId="0" applyNumberFormat="1" applyFont="1"/>
    <xf numFmtId="4" fontId="2" fillId="0" borderId="1" xfId="0" applyNumberFormat="1" applyFont="1" applyBorder="1"/>
    <xf numFmtId="0" fontId="7" fillId="0" borderId="1" xfId="0" applyFont="1" applyBorder="1" applyAlignment="1">
      <alignment wrapText="1"/>
    </xf>
    <xf numFmtId="0" fontId="2" fillId="2" borderId="1" xfId="0" applyFont="1" applyFill="1" applyBorder="1" applyAlignment="1">
      <alignment wrapText="1"/>
    </xf>
    <xf numFmtId="0" fontId="2" fillId="2" borderId="1" xfId="0" applyFont="1" applyFill="1" applyBorder="1"/>
    <xf numFmtId="0" fontId="2" fillId="2" borderId="1" xfId="0" applyNumberFormat="1" applyFont="1" applyFill="1" applyBorder="1" applyAlignment="1">
      <alignment wrapText="1"/>
    </xf>
    <xf numFmtId="0" fontId="4" fillId="0" borderId="1" xfId="0" applyFont="1" applyBorder="1" applyAlignment="1">
      <alignment wrapText="1"/>
    </xf>
    <xf numFmtId="3" fontId="2" fillId="0" borderId="1" xfId="0" applyNumberFormat="1" applyFont="1" applyBorder="1"/>
    <xf numFmtId="0" fontId="0" fillId="0" borderId="1" xfId="0" applyBorder="1" applyAlignment="1">
      <alignment wrapText="1"/>
    </xf>
    <xf numFmtId="0" fontId="7" fillId="0" borderId="3" xfId="0" applyFont="1" applyBorder="1" applyAlignment="1">
      <alignment wrapText="1"/>
    </xf>
    <xf numFmtId="0" fontId="0" fillId="0" borderId="4" xfId="0" applyBorder="1" applyAlignment="1">
      <alignment wrapText="1"/>
    </xf>
    <xf numFmtId="0" fontId="0" fillId="0" borderId="2" xfId="0" applyBorder="1" applyAlignment="1"/>
    <xf numFmtId="0" fontId="4" fillId="0" borderId="1" xfId="0" applyFont="1" applyFill="1" applyBorder="1" applyAlignment="1">
      <alignment wrapText="1"/>
    </xf>
    <xf numFmtId="0" fontId="10" fillId="0" borderId="1" xfId="0" applyFont="1" applyBorder="1"/>
    <xf numFmtId="0" fontId="11" fillId="0" borderId="1" xfId="0" applyFont="1" applyBorder="1"/>
    <xf numFmtId="0" fontId="4" fillId="4" borderId="1" xfId="0" applyFont="1" applyFill="1" applyBorder="1" applyAlignment="1">
      <alignment wrapText="1"/>
    </xf>
    <xf numFmtId="0" fontId="10" fillId="0" borderId="1" xfId="0" applyFont="1" applyBorder="1" applyAlignment="1">
      <alignment wrapText="1"/>
    </xf>
    <xf numFmtId="0" fontId="4" fillId="4" borderId="1" xfId="0" applyFont="1" applyFill="1" applyBorder="1" applyAlignment="1">
      <alignment textRotation="90" wrapText="1"/>
    </xf>
    <xf numFmtId="1" fontId="10" fillId="0" borderId="1" xfId="0" applyNumberFormat="1" applyFont="1" applyBorder="1" applyAlignment="1">
      <alignment wrapText="1"/>
    </xf>
    <xf numFmtId="1" fontId="0" fillId="0" borderId="1" xfId="0" applyNumberFormat="1" applyBorder="1"/>
    <xf numFmtId="1" fontId="10" fillId="0" borderId="1" xfId="0" applyNumberFormat="1" applyFont="1" applyBorder="1"/>
    <xf numFmtId="1" fontId="0" fillId="0" borderId="1" xfId="0" applyNumberFormat="1" applyBorder="1" applyAlignment="1">
      <alignment wrapText="1"/>
    </xf>
    <xf numFmtId="0" fontId="2" fillId="0" borderId="1" xfId="0" applyFont="1" applyBorder="1" applyAlignment="1">
      <alignment wrapText="1"/>
    </xf>
    <xf numFmtId="164" fontId="2" fillId="0" borderId="1" xfId="0" applyNumberFormat="1" applyFont="1" applyBorder="1" applyAlignment="1">
      <alignment wrapText="1"/>
    </xf>
    <xf numFmtId="164" fontId="0" fillId="0" borderId="1" xfId="0" applyNumberFormat="1" applyBorder="1" applyAlignment="1">
      <alignment wrapText="1"/>
    </xf>
    <xf numFmtId="0" fontId="1" fillId="0" borderId="0" xfId="0" applyFont="1"/>
    <xf numFmtId="0" fontId="18" fillId="3" borderId="0" xfId="0" applyFont="1" applyFill="1"/>
    <xf numFmtId="0" fontId="1" fillId="0" borderId="0" xfId="0" quotePrefix="1" applyFont="1"/>
    <xf numFmtId="0" fontId="0" fillId="0" borderId="0" xfId="0" applyFill="1"/>
    <xf numFmtId="0" fontId="18" fillId="0" borderId="0" xfId="0" applyFont="1" applyFill="1"/>
    <xf numFmtId="0" fontId="19" fillId="5" borderId="0" xfId="0" applyFont="1" applyFill="1"/>
    <xf numFmtId="0" fontId="20" fillId="0" borderId="0" xfId="0" applyFont="1"/>
    <xf numFmtId="0" fontId="0" fillId="0" borderId="0" xfId="0" applyFill="1" applyProtection="1">
      <protection locked="0"/>
    </xf>
    <xf numFmtId="0" fontId="0" fillId="0" borderId="0" xfId="0" applyProtection="1">
      <protection locked="0"/>
    </xf>
    <xf numFmtId="0" fontId="0" fillId="0" borderId="0" xfId="0" quotePrefix="1"/>
    <xf numFmtId="0" fontId="4" fillId="5" borderId="5" xfId="0" applyFont="1" applyFill="1" applyBorder="1" applyProtection="1"/>
    <xf numFmtId="0" fontId="0" fillId="6" borderId="5" xfId="0" applyFill="1" applyBorder="1" applyAlignment="1" applyProtection="1">
      <alignment horizontal="center"/>
    </xf>
    <xf numFmtId="0" fontId="4" fillId="0" borderId="0" xfId="0" applyFont="1"/>
    <xf numFmtId="0" fontId="4" fillId="0" borderId="0" xfId="0" applyFont="1" applyFill="1"/>
    <xf numFmtId="0" fontId="10" fillId="0" borderId="0" xfId="0" applyFont="1"/>
    <xf numFmtId="0" fontId="10" fillId="0" borderId="0" xfId="0" applyFont="1" applyFill="1"/>
    <xf numFmtId="0" fontId="0" fillId="0" borderId="0" xfId="0" applyBorder="1"/>
    <xf numFmtId="0" fontId="4" fillId="0" borderId="0" xfId="0" applyFont="1" applyFill="1" applyBorder="1"/>
    <xf numFmtId="0" fontId="4" fillId="0" borderId="0" xfId="0" applyFont="1" applyBorder="1"/>
    <xf numFmtId="10" fontId="4" fillId="0" borderId="0" xfId="0" applyNumberFormat="1" applyFont="1" applyBorder="1"/>
    <xf numFmtId="0" fontId="1" fillId="0" borderId="0" xfId="0" applyFont="1" applyFill="1"/>
    <xf numFmtId="0" fontId="21" fillId="6" borderId="7" xfId="0" applyNumberFormat="1" applyFont="1" applyFill="1" applyBorder="1" applyProtection="1">
      <protection locked="0"/>
    </xf>
    <xf numFmtId="0" fontId="21" fillId="6" borderId="1" xfId="0" applyNumberFormat="1" applyFont="1" applyFill="1" applyBorder="1" applyProtection="1">
      <protection locked="0"/>
    </xf>
    <xf numFmtId="0" fontId="21" fillId="6" borderId="2" xfId="0" applyNumberFormat="1" applyFont="1" applyFill="1" applyBorder="1" applyProtection="1">
      <protection locked="0"/>
    </xf>
    <xf numFmtId="164" fontId="22" fillId="6" borderId="1" xfId="0" applyNumberFormat="1" applyFont="1" applyFill="1" applyBorder="1" applyProtection="1">
      <protection locked="0"/>
    </xf>
    <xf numFmtId="164" fontId="22" fillId="5" borderId="1" xfId="0" applyNumberFormat="1" applyFont="1" applyFill="1" applyBorder="1" applyProtection="1">
      <protection locked="0"/>
    </xf>
    <xf numFmtId="164" fontId="18" fillId="5" borderId="1" xfId="0" applyNumberFormat="1" applyFont="1" applyFill="1" applyBorder="1" applyProtection="1">
      <protection locked="0"/>
    </xf>
    <xf numFmtId="4" fontId="22" fillId="6" borderId="1" xfId="0" applyNumberFormat="1" applyFont="1" applyFill="1" applyBorder="1" applyProtection="1">
      <protection locked="0"/>
    </xf>
    <xf numFmtId="4" fontId="22" fillId="5" borderId="1" xfId="0" applyNumberFormat="1" applyFont="1" applyFill="1" applyBorder="1" applyProtection="1">
      <protection locked="0"/>
    </xf>
    <xf numFmtId="0" fontId="18" fillId="6" borderId="1" xfId="0" applyFont="1" applyFill="1" applyBorder="1" applyProtection="1">
      <protection locked="0"/>
    </xf>
    <xf numFmtId="4" fontId="18" fillId="6" borderId="1" xfId="0" applyNumberFormat="1" applyFont="1" applyFill="1" applyBorder="1" applyProtection="1">
      <protection locked="0"/>
    </xf>
    <xf numFmtId="4" fontId="18" fillId="5" borderId="1" xfId="0" applyNumberFormat="1" applyFont="1" applyFill="1" applyBorder="1" applyProtection="1">
      <protection locked="0"/>
    </xf>
    <xf numFmtId="1" fontId="18" fillId="6" borderId="1" xfId="0" applyNumberFormat="1" applyFont="1" applyFill="1" applyBorder="1" applyProtection="1">
      <protection locked="0"/>
    </xf>
    <xf numFmtId="1" fontId="18" fillId="8" borderId="1" xfId="0" applyNumberFormat="1" applyFont="1" applyFill="1" applyBorder="1" applyProtection="1">
      <protection locked="0"/>
    </xf>
    <xf numFmtId="1" fontId="18" fillId="9" borderId="1" xfId="0" applyNumberFormat="1" applyFont="1" applyFill="1" applyBorder="1" applyProtection="1">
      <protection locked="0"/>
    </xf>
    <xf numFmtId="1" fontId="18" fillId="5" borderId="1" xfId="0" applyNumberFormat="1" applyFont="1" applyFill="1" applyBorder="1" applyProtection="1">
      <protection locked="0"/>
    </xf>
    <xf numFmtId="1" fontId="18" fillId="10" borderId="1" xfId="0" applyNumberFormat="1" applyFont="1" applyFill="1" applyBorder="1" applyProtection="1">
      <protection locked="0"/>
    </xf>
    <xf numFmtId="0" fontId="23" fillId="5" borderId="1" xfId="0" applyFont="1" applyFill="1" applyBorder="1" applyAlignment="1" applyProtection="1">
      <alignment wrapText="1"/>
      <protection locked="0"/>
    </xf>
    <xf numFmtId="0" fontId="24" fillId="9" borderId="1" xfId="0" applyFont="1" applyFill="1" applyBorder="1" applyAlignment="1" applyProtection="1">
      <alignment wrapText="1"/>
      <protection locked="0"/>
    </xf>
    <xf numFmtId="0" fontId="23" fillId="8" borderId="1" xfId="0" applyFont="1" applyFill="1" applyBorder="1" applyAlignment="1" applyProtection="1">
      <alignment wrapText="1"/>
      <protection locked="0"/>
    </xf>
    <xf numFmtId="0" fontId="24" fillId="10" borderId="1" xfId="0" applyFont="1" applyFill="1" applyBorder="1" applyAlignment="1" applyProtection="1">
      <alignment wrapText="1"/>
      <protection locked="0"/>
    </xf>
    <xf numFmtId="164" fontId="23" fillId="5" borderId="1" xfId="0" applyNumberFormat="1" applyFont="1" applyFill="1" applyBorder="1" applyAlignment="1" applyProtection="1">
      <alignment wrapText="1"/>
      <protection locked="0"/>
    </xf>
    <xf numFmtId="164" fontId="24" fillId="9" borderId="1" xfId="0" applyNumberFormat="1" applyFont="1" applyFill="1" applyBorder="1" applyAlignment="1" applyProtection="1">
      <alignment wrapText="1"/>
      <protection locked="0"/>
    </xf>
    <xf numFmtId="164" fontId="24" fillId="10" borderId="1" xfId="0" applyNumberFormat="1" applyFont="1" applyFill="1" applyBorder="1" applyAlignment="1" applyProtection="1">
      <alignment wrapText="1"/>
      <protection locked="0"/>
    </xf>
    <xf numFmtId="164" fontId="23" fillId="8" borderId="1" xfId="0" applyNumberFormat="1" applyFont="1" applyFill="1" applyBorder="1" applyAlignment="1" applyProtection="1">
      <alignment wrapText="1"/>
      <protection locked="0"/>
    </xf>
    <xf numFmtId="164" fontId="23" fillId="6" borderId="1" xfId="0" applyNumberFormat="1" applyFont="1" applyFill="1" applyBorder="1" applyAlignment="1" applyProtection="1">
      <alignment wrapText="1"/>
      <protection locked="0"/>
    </xf>
    <xf numFmtId="164" fontId="23" fillId="5" borderId="1" xfId="0" applyNumberFormat="1" applyFont="1" applyFill="1" applyBorder="1" applyProtection="1">
      <protection locked="0"/>
    </xf>
    <xf numFmtId="0" fontId="3" fillId="4" borderId="9" xfId="0" applyNumberFormat="1" applyFont="1" applyFill="1" applyBorder="1" applyAlignment="1">
      <alignment wrapText="1"/>
    </xf>
    <xf numFmtId="0" fontId="0" fillId="4" borderId="10" xfId="0" applyFill="1" applyBorder="1" applyAlignment="1"/>
    <xf numFmtId="0" fontId="0" fillId="4" borderId="11" xfId="0" applyFill="1" applyBorder="1" applyAlignment="1"/>
    <xf numFmtId="0" fontId="0" fillId="4" borderId="12" xfId="0" applyFill="1" applyBorder="1" applyAlignment="1"/>
    <xf numFmtId="0" fontId="0" fillId="4" borderId="8" xfId="0" applyFill="1" applyBorder="1" applyAlignment="1"/>
    <xf numFmtId="0" fontId="0" fillId="4" borderId="6" xfId="0" applyFill="1" applyBorder="1" applyAlignment="1"/>
    <xf numFmtId="0" fontId="6" fillId="0" borderId="9" xfId="0" applyNumberFormat="1" applyFont="1" applyBorder="1" applyAlignment="1">
      <alignment horizontal="center" vertical="top" wrapText="1"/>
    </xf>
    <xf numFmtId="0" fontId="6" fillId="0" borderId="10" xfId="0" applyNumberFormat="1" applyFont="1" applyBorder="1" applyAlignment="1">
      <alignment horizontal="center" vertical="top" wrapText="1"/>
    </xf>
    <xf numFmtId="0" fontId="6" fillId="0" borderId="11" xfId="0" applyNumberFormat="1" applyFont="1" applyBorder="1" applyAlignment="1">
      <alignment horizontal="center" vertical="top" wrapText="1"/>
    </xf>
    <xf numFmtId="0" fontId="6" fillId="0" borderId="12" xfId="0" applyNumberFormat="1" applyFont="1" applyBorder="1" applyAlignment="1">
      <alignment horizontal="center" vertical="top" wrapText="1"/>
    </xf>
    <xf numFmtId="0" fontId="6" fillId="0" borderId="8" xfId="0" applyNumberFormat="1" applyFont="1" applyBorder="1" applyAlignment="1">
      <alignment horizontal="center" vertical="top" wrapText="1"/>
    </xf>
    <xf numFmtId="0" fontId="6" fillId="0" borderId="6" xfId="0" applyNumberFormat="1" applyFont="1" applyBorder="1" applyAlignment="1">
      <alignment horizontal="center" vertical="top" wrapText="1"/>
    </xf>
    <xf numFmtId="0" fontId="3" fillId="0" borderId="1" xfId="0" applyFont="1" applyBorder="1" applyAlignment="1">
      <alignment horizontal="right"/>
    </xf>
    <xf numFmtId="0" fontId="3" fillId="0" borderId="0" xfId="0" applyFont="1" applyAlignment="1">
      <alignment horizontal="right"/>
    </xf>
    <xf numFmtId="0" fontId="2" fillId="0" borderId="0" xfId="0" applyFont="1" applyAlignment="1">
      <alignment horizontal="right"/>
    </xf>
    <xf numFmtId="0" fontId="8" fillId="6" borderId="3" xfId="0" applyFont="1" applyFill="1" applyBorder="1" applyAlignment="1">
      <alignment wrapText="1"/>
    </xf>
    <xf numFmtId="0" fontId="9" fillId="6" borderId="4" xfId="0" applyFont="1" applyFill="1" applyBorder="1" applyAlignment="1">
      <alignment wrapText="1"/>
    </xf>
    <xf numFmtId="0" fontId="9" fillId="6" borderId="2" xfId="0" applyFont="1" applyFill="1" applyBorder="1" applyAlignment="1">
      <alignment wrapText="1"/>
    </xf>
    <xf numFmtId="0" fontId="7" fillId="0" borderId="1" xfId="0" applyFont="1" applyBorder="1" applyAlignment="1">
      <alignment wrapText="1"/>
    </xf>
    <xf numFmtId="0" fontId="0" fillId="0" borderId="1" xfId="0" applyBorder="1" applyAlignment="1">
      <alignment wrapText="1"/>
    </xf>
    <xf numFmtId="0" fontId="4" fillId="0" borderId="1" xfId="0" applyFont="1" applyBorder="1" applyAlignment="1">
      <alignment horizontal="right"/>
    </xf>
    <xf numFmtId="0" fontId="7" fillId="0" borderId="3" xfId="0" applyFont="1" applyBorder="1" applyAlignment="1">
      <alignment wrapText="1"/>
    </xf>
    <xf numFmtId="0" fontId="0" fillId="0" borderId="4" xfId="0" applyBorder="1" applyAlignment="1">
      <alignment wrapText="1"/>
    </xf>
    <xf numFmtId="0" fontId="0" fillId="0" borderId="2" xfId="0" applyBorder="1" applyAlignment="1"/>
    <xf numFmtId="0" fontId="4" fillId="0" borderId="3" xfId="0" applyFont="1" applyBorder="1" applyAlignment="1"/>
    <xf numFmtId="0" fontId="4" fillId="0" borderId="4" xfId="0" applyFont="1" applyBorder="1" applyAlignment="1"/>
    <xf numFmtId="0" fontId="4" fillId="0" borderId="2" xfId="0" applyFont="1" applyBorder="1" applyAlignment="1"/>
    <xf numFmtId="0" fontId="3" fillId="0" borderId="3" xfId="0" applyFont="1" applyBorder="1" applyAlignment="1">
      <alignment horizontal="center"/>
    </xf>
    <xf numFmtId="0" fontId="0" fillId="0" borderId="4" xfId="0" applyBorder="1" applyAlignment="1">
      <alignment horizontal="center"/>
    </xf>
    <xf numFmtId="0" fontId="0" fillId="0" borderId="2" xfId="0" applyBorder="1" applyAlignment="1">
      <alignment horizontal="center"/>
    </xf>
    <xf numFmtId="0" fontId="2" fillId="0" borderId="3" xfId="0" applyFont="1" applyBorder="1" applyAlignment="1"/>
    <xf numFmtId="0" fontId="0" fillId="0" borderId="4" xfId="0" applyBorder="1" applyAlignment="1"/>
    <xf numFmtId="0" fontId="12" fillId="0" borderId="3" xfId="0" applyFont="1" applyBorder="1" applyAlignment="1">
      <alignment wrapText="1"/>
    </xf>
    <xf numFmtId="0" fontId="12" fillId="0" borderId="4" xfId="0" applyFont="1" applyBorder="1" applyAlignment="1">
      <alignment wrapText="1"/>
    </xf>
    <xf numFmtId="0" fontId="0" fillId="0" borderId="2" xfId="0" applyBorder="1" applyAlignment="1">
      <alignment wrapText="1"/>
    </xf>
    <xf numFmtId="0" fontId="13" fillId="0" borderId="13" xfId="0" applyFont="1" applyBorder="1" applyAlignment="1">
      <alignment wrapText="1"/>
    </xf>
    <xf numFmtId="0" fontId="14" fillId="0" borderId="13" xfId="0" applyFont="1" applyBorder="1" applyAlignment="1">
      <alignment wrapText="1"/>
    </xf>
    <xf numFmtId="0" fontId="4" fillId="7" borderId="1" xfId="0" applyFont="1" applyFill="1" applyBorder="1" applyAlignment="1">
      <alignment wrapText="1"/>
    </xf>
    <xf numFmtId="0" fontId="0" fillId="7" borderId="1" xfId="0" applyFill="1" applyBorder="1" applyAlignment="1">
      <alignment wrapText="1"/>
    </xf>
    <xf numFmtId="0" fontId="4" fillId="4" borderId="1" xfId="0" applyFont="1" applyFill="1" applyBorder="1" applyAlignment="1">
      <alignment wrapText="1"/>
    </xf>
    <xf numFmtId="0" fontId="0" fillId="4" borderId="1" xfId="0" applyFill="1" applyBorder="1" applyAlignment="1">
      <alignment wrapText="1"/>
    </xf>
    <xf numFmtId="0" fontId="15" fillId="0" borderId="13" xfId="0" applyFont="1" applyBorder="1" applyAlignment="1">
      <alignment wrapText="1"/>
    </xf>
    <xf numFmtId="0" fontId="16" fillId="0" borderId="13" xfId="0" applyFont="1" applyBorder="1" applyAlignment="1">
      <alignment wrapText="1"/>
    </xf>
    <xf numFmtId="0" fontId="4" fillId="4" borderId="1" xfId="0" applyFont="1" applyFill="1" applyBorder="1" applyAlignment="1">
      <alignment horizontal="center" wrapText="1"/>
    </xf>
    <xf numFmtId="0" fontId="0" fillId="4" borderId="1" xfId="0" applyFill="1" applyBorder="1" applyAlignment="1">
      <alignment horizontal="center" wrapText="1"/>
    </xf>
    <xf numFmtId="0" fontId="4" fillId="7" borderId="1" xfId="0" applyFont="1" applyFill="1" applyBorder="1" applyAlignment="1">
      <alignment horizontal="center" wrapText="1"/>
    </xf>
    <xf numFmtId="0" fontId="0" fillId="7" borderId="1" xfId="0" applyFill="1" applyBorder="1" applyAlignment="1">
      <alignment horizontal="center" wrapText="1"/>
    </xf>
    <xf numFmtId="9" fontId="0" fillId="5" borderId="5" xfId="0" applyNumberFormat="1" applyFill="1" applyBorder="1" applyAlignment="1" applyProtection="1">
      <alignment horizont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Total Profit</a:t>
            </a:r>
          </a:p>
        </c:rich>
      </c:tx>
      <c:overlay val="0"/>
    </c:title>
    <c:autoTitleDeleted val="0"/>
    <c:plotArea>
      <c:layout/>
      <c:barChart>
        <c:barDir val="col"/>
        <c:grouping val="clustered"/>
        <c:varyColors val="0"/>
        <c:ser>
          <c:idx val="0"/>
          <c:order val="0"/>
          <c:invertIfNegative val="0"/>
          <c:cat>
            <c:strRef>
              <c:f>'Exercise 4'!$A$3:$A$17</c:f>
              <c:strCache>
                <c:ptCount val="15"/>
                <c:pt idx="0">
                  <c:v>Chest of drawers (large)</c:v>
                </c:pt>
                <c:pt idx="1">
                  <c:v>Chest of drawers (medium)</c:v>
                </c:pt>
                <c:pt idx="2">
                  <c:v>Chest of drawers (small)</c:v>
                </c:pt>
                <c:pt idx="3">
                  <c:v>Coffee table (small)</c:v>
                </c:pt>
                <c:pt idx="4">
                  <c:v>Coffee table (large)</c:v>
                </c:pt>
                <c:pt idx="5">
                  <c:v>Rocking chair</c:v>
                </c:pt>
                <c:pt idx="6">
                  <c:v>Dining table</c:v>
                </c:pt>
                <c:pt idx="7">
                  <c:v>Dining chairs</c:v>
                </c:pt>
                <c:pt idx="8">
                  <c:v>Stool</c:v>
                </c:pt>
                <c:pt idx="9">
                  <c:v>Ottoman chest</c:v>
                </c:pt>
                <c:pt idx="10">
                  <c:v>Hat stand</c:v>
                </c:pt>
                <c:pt idx="11">
                  <c:v>Wardrobe (single)</c:v>
                </c:pt>
                <c:pt idx="12">
                  <c:v>Wardrobe (double)</c:v>
                </c:pt>
                <c:pt idx="13">
                  <c:v>Bed single</c:v>
                </c:pt>
                <c:pt idx="14">
                  <c:v>Bed double</c:v>
                </c:pt>
              </c:strCache>
            </c:strRef>
          </c:cat>
          <c:val>
            <c:numRef>
              <c:f>'Exercise 4'!$F$3:$F$17</c:f>
              <c:numCache>
                <c:formatCode>"£"#,##0.00</c:formatCode>
                <c:ptCount val="15"/>
              </c:numCache>
            </c:numRef>
          </c:val>
          <c:extLst>
            <c:ext xmlns:c16="http://schemas.microsoft.com/office/drawing/2014/chart" uri="{C3380CC4-5D6E-409C-BE32-E72D297353CC}">
              <c16:uniqueId val="{00000000-B3C6-4602-87C5-B27110813662}"/>
            </c:ext>
          </c:extLst>
        </c:ser>
        <c:dLbls>
          <c:showLegendKey val="0"/>
          <c:showVal val="0"/>
          <c:showCatName val="0"/>
          <c:showSerName val="0"/>
          <c:showPercent val="0"/>
          <c:showBubbleSize val="0"/>
        </c:dLbls>
        <c:gapWidth val="150"/>
        <c:axId val="106081792"/>
        <c:axId val="94529792"/>
      </c:barChart>
      <c:catAx>
        <c:axId val="106081792"/>
        <c:scaling>
          <c:orientation val="minMax"/>
        </c:scaling>
        <c:delete val="0"/>
        <c:axPos val="b"/>
        <c:title>
          <c:tx>
            <c:rich>
              <a:bodyPr/>
              <a:lstStyle/>
              <a:p>
                <a:pPr>
                  <a:defRPr/>
                </a:pPr>
                <a:r>
                  <a:rPr lang="en-GB"/>
                  <a:t>Item</a:t>
                </a:r>
              </a:p>
            </c:rich>
          </c:tx>
          <c:overlay val="0"/>
        </c:title>
        <c:numFmt formatCode="General" sourceLinked="0"/>
        <c:majorTickMark val="out"/>
        <c:minorTickMark val="none"/>
        <c:tickLblPos val="nextTo"/>
        <c:crossAx val="94529792"/>
        <c:crosses val="autoZero"/>
        <c:auto val="1"/>
        <c:lblAlgn val="ctr"/>
        <c:lblOffset val="100"/>
        <c:noMultiLvlLbl val="0"/>
      </c:catAx>
      <c:valAx>
        <c:axId val="94529792"/>
        <c:scaling>
          <c:orientation val="minMax"/>
        </c:scaling>
        <c:delete val="0"/>
        <c:axPos val="l"/>
        <c:majorGridlines/>
        <c:title>
          <c:tx>
            <c:rich>
              <a:bodyPr rot="-5400000" vert="horz"/>
              <a:lstStyle/>
              <a:p>
                <a:pPr>
                  <a:defRPr/>
                </a:pPr>
                <a:r>
                  <a:rPr lang="en-GB"/>
                  <a:t>Profit</a:t>
                </a:r>
              </a:p>
              <a:p>
                <a:pPr>
                  <a:defRPr/>
                </a:pPr>
                <a:endParaRPr lang="en-GB"/>
              </a:p>
            </c:rich>
          </c:tx>
          <c:overlay val="0"/>
        </c:title>
        <c:numFmt formatCode="&quot;£&quot;#,##0.00" sourceLinked="1"/>
        <c:majorTickMark val="out"/>
        <c:minorTickMark val="none"/>
        <c:tickLblPos val="nextTo"/>
        <c:crossAx val="106081792"/>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209550</xdr:colOff>
          <xdr:row>18</xdr:row>
          <xdr:rowOff>161925</xdr:rowOff>
        </xdr:from>
        <xdr:to>
          <xdr:col>11</xdr:col>
          <xdr:colOff>628650</xdr:colOff>
          <xdr:row>21</xdr:row>
          <xdr:rowOff>219075</xdr:rowOff>
        </xdr:to>
        <xdr:sp macro="" textlink="">
          <xdr:nvSpPr>
            <xdr:cNvPr id="13313" name="CommandButton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14</xdr:row>
      <xdr:rowOff>133350</xdr:rowOff>
    </xdr:from>
    <xdr:to>
      <xdr:col>4</xdr:col>
      <xdr:colOff>171450</xdr:colOff>
      <xdr:row>21</xdr:row>
      <xdr:rowOff>19050</xdr:rowOff>
    </xdr:to>
    <xdr:sp macro="" textlink="">
      <xdr:nvSpPr>
        <xdr:cNvPr id="1025" name="Text Box 1">
          <a:extLst>
            <a:ext uri="{FF2B5EF4-FFF2-40B4-BE49-F238E27FC236}">
              <a16:creationId xmlns:a16="http://schemas.microsoft.com/office/drawing/2014/main" id="{00000000-0008-0000-0100-000001040000}"/>
            </a:ext>
          </a:extLst>
        </xdr:cNvPr>
        <xdr:cNvSpPr txBox="1">
          <a:spLocks noChangeArrowheads="1"/>
        </xdr:cNvSpPr>
      </xdr:nvSpPr>
      <xdr:spPr bwMode="auto">
        <a:xfrm>
          <a:off x="209550" y="2828925"/>
          <a:ext cx="4819650" cy="1104900"/>
        </a:xfrm>
        <a:prstGeom prst="rect">
          <a:avLst/>
        </a:prstGeom>
        <a:solidFill>
          <a:srgbClr val="FFFF99"/>
        </a:solidFill>
        <a:ln w="9525">
          <a:solidFill>
            <a:srgbClr val="000000"/>
          </a:solidFill>
          <a:miter lim="800000"/>
          <a:headEnd/>
          <a:tailEnd/>
        </a:ln>
      </xdr:spPr>
      <xdr:txBody>
        <a:bodyPr vertOverflow="clip" wrap="square" lIns="36576" tIns="22860" rIns="0" bIns="0" anchor="t" upright="1"/>
        <a:lstStyle/>
        <a:p>
          <a:pPr algn="l" rtl="0">
            <a:defRPr sz="1000"/>
          </a:pPr>
          <a:r>
            <a:rPr lang="en-GB" sz="1200" b="0" i="0" u="none" strike="noStrike" baseline="0">
              <a:solidFill>
                <a:srgbClr val="000000"/>
              </a:solidFill>
              <a:latin typeface="Arial"/>
              <a:cs typeface="Arial"/>
            </a:rPr>
            <a:t>Work out the total taken for each item in the tuck shop, then work out the overall total for the week. Ensure you put your name in the Header.</a:t>
          </a:r>
        </a:p>
        <a:p>
          <a:pPr algn="l" rtl="0">
            <a:defRPr sz="1000"/>
          </a:pPr>
          <a:endParaRPr lang="en-GB" sz="1200" b="0" i="0" u="none" strike="noStrike" baseline="0">
            <a:solidFill>
              <a:srgbClr val="000000"/>
            </a:solidFill>
            <a:latin typeface="Arial"/>
            <a:cs typeface="Arial"/>
          </a:endParaRPr>
        </a:p>
        <a:p>
          <a:pPr algn="l" rtl="0">
            <a:defRPr sz="1000"/>
          </a:pPr>
          <a:r>
            <a:rPr lang="en-GB" sz="1200" b="0" i="0" u="none" strike="noStrike" baseline="0">
              <a:solidFill>
                <a:srgbClr val="000000"/>
              </a:solidFill>
              <a:latin typeface="Arial"/>
              <a:cs typeface="Arial"/>
            </a:rPr>
            <a:t>Now go to </a:t>
          </a:r>
          <a:r>
            <a:rPr lang="en-GB" sz="1200" b="1" i="0" u="sng" strike="noStrike" baseline="0">
              <a:solidFill>
                <a:srgbClr val="000000"/>
              </a:solidFill>
              <a:latin typeface="Arial"/>
              <a:cs typeface="Arial"/>
            </a:rPr>
            <a:t>Exercise 3.</a:t>
          </a:r>
        </a:p>
      </xdr:txBody>
    </xdr:sp>
    <xdr:clientData/>
  </xdr:twoCellAnchor>
  <mc:AlternateContent xmlns:mc="http://schemas.openxmlformats.org/markup-compatibility/2006">
    <mc:Choice xmlns:a14="http://schemas.microsoft.com/office/drawing/2010/main" Requires="a14">
      <xdr:twoCellAnchor editAs="oneCell">
        <xdr:from>
          <xdr:col>4</xdr:col>
          <xdr:colOff>323850</xdr:colOff>
          <xdr:row>2</xdr:row>
          <xdr:rowOff>9525</xdr:rowOff>
        </xdr:from>
        <xdr:to>
          <xdr:col>6</xdr:col>
          <xdr:colOff>228600</xdr:colOff>
          <xdr:row>5</xdr:row>
          <xdr:rowOff>180975</xdr:rowOff>
        </xdr:to>
        <xdr:sp macro="" textlink="">
          <xdr:nvSpPr>
            <xdr:cNvPr id="1026" name="CommandButton1"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76200</xdr:colOff>
      <xdr:row>17</xdr:row>
      <xdr:rowOff>114300</xdr:rowOff>
    </xdr:from>
    <xdr:to>
      <xdr:col>6</xdr:col>
      <xdr:colOff>590550</xdr:colOff>
      <xdr:row>25</xdr:row>
      <xdr:rowOff>57150</xdr:rowOff>
    </xdr:to>
    <xdr:sp macro="" textlink="">
      <xdr:nvSpPr>
        <xdr:cNvPr id="2049" name="Text Box 1">
          <a:extLst>
            <a:ext uri="{FF2B5EF4-FFF2-40B4-BE49-F238E27FC236}">
              <a16:creationId xmlns:a16="http://schemas.microsoft.com/office/drawing/2014/main" id="{00000000-0008-0000-0200-000001080000}"/>
            </a:ext>
          </a:extLst>
        </xdr:cNvPr>
        <xdr:cNvSpPr txBox="1">
          <a:spLocks noChangeArrowheads="1"/>
        </xdr:cNvSpPr>
      </xdr:nvSpPr>
      <xdr:spPr bwMode="auto">
        <a:xfrm>
          <a:off x="76200" y="3581400"/>
          <a:ext cx="6000750" cy="1238250"/>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You need to put formulas into the coloured areas to work out the </a:t>
          </a:r>
          <a:r>
            <a:rPr lang="en-GB" sz="1000" b="0" i="1" u="none" strike="noStrike" baseline="0">
              <a:solidFill>
                <a:srgbClr val="000000"/>
              </a:solidFill>
              <a:latin typeface="Arial"/>
              <a:cs typeface="Arial"/>
            </a:rPr>
            <a:t>Profit per Item</a:t>
          </a:r>
          <a:r>
            <a:rPr lang="en-GB" sz="1000" b="0" i="0" u="none" strike="noStrike" baseline="0">
              <a:solidFill>
                <a:srgbClr val="000000"/>
              </a:solidFill>
              <a:latin typeface="Arial"/>
              <a:cs typeface="Arial"/>
            </a:rPr>
            <a:t> </a:t>
          </a:r>
          <a:r>
            <a:rPr lang="en-GB" sz="1000" b="1" i="0" u="none" strike="noStrike" baseline="0">
              <a:solidFill>
                <a:srgbClr val="000000"/>
              </a:solidFill>
              <a:latin typeface="Arial"/>
              <a:cs typeface="Arial"/>
            </a:rPr>
            <a:t>(Price sold for - Price bought for)</a:t>
          </a:r>
          <a:r>
            <a:rPr lang="en-GB" sz="1000" b="0" i="0" u="none" strike="noStrike" baseline="0">
              <a:solidFill>
                <a:srgbClr val="000000"/>
              </a:solidFill>
              <a:latin typeface="Arial"/>
              <a:cs typeface="Arial"/>
            </a:rPr>
            <a:t> and the </a:t>
          </a:r>
          <a:r>
            <a:rPr lang="en-GB" sz="1000" b="0" i="1" u="none" strike="noStrike" baseline="0">
              <a:solidFill>
                <a:srgbClr val="000000"/>
              </a:solidFill>
              <a:latin typeface="Arial"/>
              <a:cs typeface="Arial"/>
            </a:rPr>
            <a:t>Total Profit Per Item</a:t>
          </a:r>
          <a:r>
            <a:rPr lang="en-GB" sz="1000" b="0" i="0" u="none" strike="noStrike" baseline="0">
              <a:solidFill>
                <a:srgbClr val="000000"/>
              </a:solidFill>
              <a:latin typeface="Arial"/>
              <a:cs typeface="Arial"/>
            </a:rPr>
            <a:t> </a:t>
          </a:r>
          <a:r>
            <a:rPr lang="en-GB" sz="1000" b="1" i="0" u="none" strike="noStrike" baseline="0">
              <a:solidFill>
                <a:srgbClr val="000000"/>
              </a:solidFill>
              <a:latin typeface="Arial"/>
              <a:cs typeface="Arial"/>
            </a:rPr>
            <a:t>(Number Sold * Profit per Item)</a:t>
          </a:r>
          <a:r>
            <a:rPr lang="en-GB" sz="1000" b="0" i="0" u="none" strike="noStrike" baseline="0">
              <a:solidFill>
                <a:srgbClr val="000000"/>
              </a:solidFill>
              <a:latin typeface="Arial"/>
              <a:cs typeface="Arial"/>
            </a:rPr>
            <a:t> and finally the </a:t>
          </a:r>
          <a:r>
            <a:rPr lang="en-GB" sz="1000" b="0" i="1" u="none" strike="noStrike" baseline="0">
              <a:solidFill>
                <a:srgbClr val="000000"/>
              </a:solidFill>
              <a:latin typeface="Arial"/>
              <a:cs typeface="Arial"/>
            </a:rPr>
            <a:t>Total Profit Per Week.</a:t>
          </a:r>
        </a:p>
        <a:p>
          <a:pPr algn="l" rtl="0">
            <a:defRPr sz="1000"/>
          </a:pPr>
          <a:endParaRPr lang="en-GB" sz="1000" b="1" i="0" u="none" strike="noStrike" baseline="0">
            <a:solidFill>
              <a:srgbClr val="000000"/>
            </a:solidFill>
            <a:latin typeface="Arial"/>
            <a:cs typeface="Arial"/>
          </a:endParaRPr>
        </a:p>
        <a:p>
          <a:pPr algn="l" rtl="0">
            <a:defRPr sz="1000"/>
          </a:pPr>
          <a:r>
            <a:rPr lang="en-GB" sz="1000" b="1" i="0" u="none" strike="noStrike" baseline="0">
              <a:solidFill>
                <a:srgbClr val="000000"/>
              </a:solidFill>
              <a:latin typeface="Arial"/>
              <a:cs typeface="Arial"/>
            </a:rPr>
            <a:t>Produce a column chart that compares the Total Profits for each item.</a:t>
          </a:r>
        </a:p>
      </xdr:txBody>
    </xdr:sp>
    <xdr:clientData/>
  </xdr:twoCellAnchor>
  <mc:AlternateContent xmlns:mc="http://schemas.openxmlformats.org/markup-compatibility/2006">
    <mc:Choice xmlns:a14="http://schemas.microsoft.com/office/drawing/2010/main" Requires="a14">
      <xdr:twoCellAnchor editAs="oneCell">
        <xdr:from>
          <xdr:col>5</xdr:col>
          <xdr:colOff>180975</xdr:colOff>
          <xdr:row>20</xdr:row>
          <xdr:rowOff>9525</xdr:rowOff>
        </xdr:from>
        <xdr:to>
          <xdr:col>6</xdr:col>
          <xdr:colOff>352425</xdr:colOff>
          <xdr:row>24</xdr:row>
          <xdr:rowOff>104775</xdr:rowOff>
        </xdr:to>
        <xdr:sp macro="" textlink="">
          <xdr:nvSpPr>
            <xdr:cNvPr id="2050" name="CommandButton1"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200025</xdr:colOff>
          <xdr:row>1</xdr:row>
          <xdr:rowOff>123825</xdr:rowOff>
        </xdr:from>
        <xdr:to>
          <xdr:col>8</xdr:col>
          <xdr:colOff>104775</xdr:colOff>
          <xdr:row>3</xdr:row>
          <xdr:rowOff>66675</xdr:rowOff>
        </xdr:to>
        <xdr:sp macro="" textlink="">
          <xdr:nvSpPr>
            <xdr:cNvPr id="14337" name="CommandButton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385762</xdr:colOff>
      <xdr:row>0</xdr:row>
      <xdr:rowOff>542925</xdr:rowOff>
    </xdr:from>
    <xdr:to>
      <xdr:col>16</xdr:col>
      <xdr:colOff>80962</xdr:colOff>
      <xdr:row>10</xdr:row>
      <xdr:rowOff>28575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19050</xdr:colOff>
      <xdr:row>0</xdr:row>
      <xdr:rowOff>38100</xdr:rowOff>
    </xdr:from>
    <xdr:to>
      <xdr:col>6</xdr:col>
      <xdr:colOff>38100</xdr:colOff>
      <xdr:row>0</xdr:row>
      <xdr:rowOff>942975</xdr:rowOff>
    </xdr:to>
    <xdr:sp macro="" textlink="">
      <xdr:nvSpPr>
        <xdr:cNvPr id="9217" name="Text Box 1">
          <a:extLst>
            <a:ext uri="{FF2B5EF4-FFF2-40B4-BE49-F238E27FC236}">
              <a16:creationId xmlns:a16="http://schemas.microsoft.com/office/drawing/2014/main" id="{00000000-0008-0000-0400-000001240000}"/>
            </a:ext>
          </a:extLst>
        </xdr:cNvPr>
        <xdr:cNvSpPr txBox="1">
          <a:spLocks noChangeArrowheads="1"/>
        </xdr:cNvSpPr>
      </xdr:nvSpPr>
      <xdr:spPr bwMode="auto">
        <a:xfrm>
          <a:off x="2162175" y="38100"/>
          <a:ext cx="4029075" cy="904875"/>
        </a:xfrm>
        <a:prstGeom prst="rect">
          <a:avLst/>
        </a:prstGeom>
        <a:solidFill>
          <a:srgbClr val="FFFF99"/>
        </a:solidFill>
        <a:ln w="9525">
          <a:solidFill>
            <a:srgbClr val="000000"/>
          </a:solid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Work out the Gross Wages for the workers by multiplying the Hourly Wage Rate by the Hours worked in week.</a:t>
          </a: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00"/>
              </a:solidFill>
              <a:latin typeface="Arial"/>
              <a:cs typeface="Arial"/>
            </a:rPr>
            <a:t>Go to </a:t>
          </a:r>
          <a:r>
            <a:rPr lang="en-GB" sz="1000" b="1" i="0" u="sng" strike="noStrike" baseline="0">
              <a:solidFill>
                <a:srgbClr val="000000"/>
              </a:solidFill>
              <a:latin typeface="Arial"/>
              <a:cs typeface="Arial"/>
            </a:rPr>
            <a:t>Exercise 6.</a:t>
          </a:r>
        </a:p>
      </xdr:txBody>
    </xdr:sp>
    <xdr:clientData/>
  </xdr:twoCellAnchor>
  <mc:AlternateContent xmlns:mc="http://schemas.openxmlformats.org/markup-compatibility/2006">
    <mc:Choice xmlns:a14="http://schemas.microsoft.com/office/drawing/2010/main" Requires="a14">
      <xdr:twoCellAnchor editAs="oneCell">
        <xdr:from>
          <xdr:col>6</xdr:col>
          <xdr:colOff>228600</xdr:colOff>
          <xdr:row>1</xdr:row>
          <xdr:rowOff>66675</xdr:rowOff>
        </xdr:from>
        <xdr:to>
          <xdr:col>8</xdr:col>
          <xdr:colOff>133350</xdr:colOff>
          <xdr:row>1</xdr:row>
          <xdr:rowOff>809625</xdr:rowOff>
        </xdr:to>
        <xdr:sp macro="" textlink="">
          <xdr:nvSpPr>
            <xdr:cNvPr id="9218" name="CommandButton1"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xdr:col>
      <xdr:colOff>19050</xdr:colOff>
      <xdr:row>0</xdr:row>
      <xdr:rowOff>19050</xdr:rowOff>
    </xdr:from>
    <xdr:to>
      <xdr:col>9</xdr:col>
      <xdr:colOff>866775</xdr:colOff>
      <xdr:row>1</xdr:row>
      <xdr:rowOff>9525</xdr:rowOff>
    </xdr:to>
    <xdr:sp macro="" textlink="">
      <xdr:nvSpPr>
        <xdr:cNvPr id="3073" name="Text Box 1">
          <a:extLst>
            <a:ext uri="{FF2B5EF4-FFF2-40B4-BE49-F238E27FC236}">
              <a16:creationId xmlns:a16="http://schemas.microsoft.com/office/drawing/2014/main" id="{00000000-0008-0000-0500-0000010C0000}"/>
            </a:ext>
          </a:extLst>
        </xdr:cNvPr>
        <xdr:cNvSpPr txBox="1">
          <a:spLocks noChangeArrowheads="1"/>
        </xdr:cNvSpPr>
      </xdr:nvSpPr>
      <xdr:spPr bwMode="auto">
        <a:xfrm>
          <a:off x="3409950" y="19050"/>
          <a:ext cx="5219700" cy="1209675"/>
        </a:xfrm>
        <a:prstGeom prst="rect">
          <a:avLst/>
        </a:prstGeom>
        <a:solidFill>
          <a:srgbClr val="FFFF99"/>
        </a:solidFill>
        <a:ln w="9525">
          <a:solidFill>
            <a:srgbClr val="000000"/>
          </a:solidFill>
          <a:miter lim="800000"/>
          <a:headEnd/>
          <a:tailEnd/>
        </a:ln>
      </xdr:spPr>
      <xdr:txBody>
        <a:bodyPr vertOverflow="clip" wrap="square" lIns="36576" tIns="22860" rIns="0" bIns="0" anchor="t" upright="1"/>
        <a:lstStyle/>
        <a:p>
          <a:pPr algn="l" rtl="0">
            <a:defRPr sz="1000"/>
          </a:pPr>
          <a:r>
            <a:rPr lang="en-GB" sz="1200" b="0" i="0" u="none" strike="noStrike" baseline="0">
              <a:solidFill>
                <a:srgbClr val="000000"/>
              </a:solidFill>
              <a:latin typeface="Arial"/>
              <a:cs typeface="Arial"/>
            </a:rPr>
            <a:t>You now need to work out the deductions that will be taken from the workers wages. To do this multiply the Gross Wages by the relevant deduction, then add the deductions together and take away from the Gross Wage. </a:t>
          </a:r>
        </a:p>
        <a:p>
          <a:pPr algn="l" rtl="0">
            <a:defRPr sz="1000"/>
          </a:pPr>
          <a:endParaRPr lang="en-GB" sz="1200" b="0" i="0" u="none" strike="noStrike" baseline="0">
            <a:solidFill>
              <a:srgbClr val="000000"/>
            </a:solidFill>
            <a:latin typeface="Arial"/>
            <a:cs typeface="Arial"/>
          </a:endParaRPr>
        </a:p>
        <a:p>
          <a:pPr algn="l" rtl="0">
            <a:defRPr sz="1000"/>
          </a:pPr>
          <a:r>
            <a:rPr lang="en-GB" sz="1200" b="0" i="0" u="none" strike="noStrike" baseline="0">
              <a:solidFill>
                <a:srgbClr val="000000"/>
              </a:solidFill>
              <a:latin typeface="Arial"/>
              <a:cs typeface="Arial"/>
            </a:rPr>
            <a:t>Go to </a:t>
          </a:r>
          <a:r>
            <a:rPr lang="en-GB" sz="1200" b="1" i="0" u="sng" strike="noStrike" baseline="0">
              <a:solidFill>
                <a:srgbClr val="000000"/>
              </a:solidFill>
              <a:latin typeface="Arial"/>
              <a:cs typeface="Arial"/>
            </a:rPr>
            <a:t>Exercise 7.</a:t>
          </a:r>
        </a:p>
      </xdr:txBody>
    </xdr:sp>
    <xdr:clientData/>
  </xdr:twoCellAnchor>
  <mc:AlternateContent xmlns:mc="http://schemas.openxmlformats.org/markup-compatibility/2006">
    <mc:Choice xmlns:a14="http://schemas.microsoft.com/office/drawing/2010/main" Requires="a14">
      <xdr:twoCellAnchor editAs="oneCell">
        <xdr:from>
          <xdr:col>10</xdr:col>
          <xdr:colOff>180975</xdr:colOff>
          <xdr:row>0</xdr:row>
          <xdr:rowOff>742950</xdr:rowOff>
        </xdr:from>
        <xdr:to>
          <xdr:col>12</xdr:col>
          <xdr:colOff>85725</xdr:colOff>
          <xdr:row>2</xdr:row>
          <xdr:rowOff>47625</xdr:rowOff>
        </xdr:to>
        <xdr:sp macro="" textlink="">
          <xdr:nvSpPr>
            <xdr:cNvPr id="3074" name="CommandButton1"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4</xdr:col>
      <xdr:colOff>19050</xdr:colOff>
      <xdr:row>0</xdr:row>
      <xdr:rowOff>9525</xdr:rowOff>
    </xdr:from>
    <xdr:to>
      <xdr:col>12</xdr:col>
      <xdr:colOff>266700</xdr:colOff>
      <xdr:row>0</xdr:row>
      <xdr:rowOff>476250</xdr:rowOff>
    </xdr:to>
    <xdr:sp macro="" textlink="">
      <xdr:nvSpPr>
        <xdr:cNvPr id="7170" name="Text Box 2">
          <a:extLst>
            <a:ext uri="{FF2B5EF4-FFF2-40B4-BE49-F238E27FC236}">
              <a16:creationId xmlns:a16="http://schemas.microsoft.com/office/drawing/2014/main" id="{00000000-0008-0000-0600-0000021C0000}"/>
            </a:ext>
          </a:extLst>
        </xdr:cNvPr>
        <xdr:cNvSpPr txBox="1">
          <a:spLocks noChangeArrowheads="1"/>
        </xdr:cNvSpPr>
      </xdr:nvSpPr>
      <xdr:spPr bwMode="auto">
        <a:xfrm>
          <a:off x="2352675" y="9525"/>
          <a:ext cx="4505325" cy="466725"/>
        </a:xfrm>
        <a:prstGeom prst="rect">
          <a:avLst/>
        </a:prstGeom>
        <a:solidFill>
          <a:srgbClr val="FFFF99"/>
        </a:solidFill>
        <a:ln w="9525">
          <a:solidFill>
            <a:srgbClr val="000000"/>
          </a:solid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To help you to work out this spreadsheet, you will need to use the </a:t>
          </a:r>
          <a:r>
            <a:rPr lang="en-GB" sz="1000" b="1" i="0" u="none" strike="noStrike" baseline="0">
              <a:solidFill>
                <a:srgbClr val="000000"/>
              </a:solidFill>
              <a:latin typeface="Arial"/>
              <a:cs typeface="Arial"/>
            </a:rPr>
            <a:t>=AVERAGE, =MAX </a:t>
          </a:r>
          <a:r>
            <a:rPr lang="en-GB" sz="1000" b="0" i="0" u="none" strike="noStrike" baseline="0">
              <a:solidFill>
                <a:srgbClr val="000000"/>
              </a:solidFill>
              <a:latin typeface="Arial"/>
              <a:cs typeface="Arial"/>
            </a:rPr>
            <a:t>and</a:t>
          </a:r>
          <a:r>
            <a:rPr lang="en-GB" sz="1000" b="1" i="0" u="none" strike="noStrike" baseline="0">
              <a:solidFill>
                <a:srgbClr val="000000"/>
              </a:solidFill>
              <a:latin typeface="Arial"/>
              <a:cs typeface="Arial"/>
            </a:rPr>
            <a:t> =MIN formulas</a:t>
          </a:r>
          <a:r>
            <a:rPr lang="en-GB" sz="1000" b="0" i="0" u="none" strike="noStrike" baseline="0">
              <a:solidFill>
                <a:srgbClr val="000000"/>
              </a:solidFill>
              <a:latin typeface="Arial"/>
              <a:cs typeface="Arial"/>
            </a:rPr>
            <a:t>. To work out the range take the Minimum from the Maximum. See below for additional tasks.</a:t>
          </a:r>
        </a:p>
      </xdr:txBody>
    </xdr:sp>
    <xdr:clientData/>
  </xdr:twoCellAnchor>
  <xdr:twoCellAnchor>
    <xdr:from>
      <xdr:col>0</xdr:col>
      <xdr:colOff>28575</xdr:colOff>
      <xdr:row>20</xdr:row>
      <xdr:rowOff>0</xdr:rowOff>
    </xdr:from>
    <xdr:to>
      <xdr:col>11</xdr:col>
      <xdr:colOff>590550</xdr:colOff>
      <xdr:row>22</xdr:row>
      <xdr:rowOff>28575</xdr:rowOff>
    </xdr:to>
    <xdr:sp macro="" textlink="">
      <xdr:nvSpPr>
        <xdr:cNvPr id="7171" name="Text Box 3">
          <a:extLst>
            <a:ext uri="{FF2B5EF4-FFF2-40B4-BE49-F238E27FC236}">
              <a16:creationId xmlns:a16="http://schemas.microsoft.com/office/drawing/2014/main" id="{00000000-0008-0000-0600-0000031C0000}"/>
            </a:ext>
          </a:extLst>
        </xdr:cNvPr>
        <xdr:cNvSpPr txBox="1">
          <a:spLocks noChangeArrowheads="1"/>
        </xdr:cNvSpPr>
      </xdr:nvSpPr>
      <xdr:spPr bwMode="auto">
        <a:xfrm>
          <a:off x="28575" y="4181475"/>
          <a:ext cx="6543675" cy="352425"/>
        </a:xfrm>
        <a:prstGeom prst="rect">
          <a:avLst/>
        </a:prstGeom>
        <a:solidFill>
          <a:srgbClr val="FFFF99"/>
        </a:solidFill>
        <a:ln w="9525">
          <a:solidFill>
            <a:srgbClr val="000000"/>
          </a:solid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Now go to </a:t>
          </a:r>
          <a:r>
            <a:rPr lang="en-GB" sz="1000" b="1" i="0" u="sng" strike="noStrike" baseline="0">
              <a:solidFill>
                <a:srgbClr val="000000"/>
              </a:solidFill>
              <a:latin typeface="Arial"/>
              <a:cs typeface="Arial"/>
            </a:rPr>
            <a:t>Exercise 11.</a:t>
          </a:r>
        </a:p>
      </xdr:txBody>
    </xdr:sp>
    <xdr:clientData/>
  </xdr:twoCellAnchor>
  <mc:AlternateContent xmlns:mc="http://schemas.openxmlformats.org/markup-compatibility/2006">
    <mc:Choice xmlns:a14="http://schemas.microsoft.com/office/drawing/2010/main" Requires="a14">
      <xdr:twoCellAnchor editAs="oneCell">
        <xdr:from>
          <xdr:col>9</xdr:col>
          <xdr:colOff>152400</xdr:colOff>
          <xdr:row>23</xdr:row>
          <xdr:rowOff>0</xdr:rowOff>
        </xdr:from>
        <xdr:to>
          <xdr:col>11</xdr:col>
          <xdr:colOff>57150</xdr:colOff>
          <xdr:row>27</xdr:row>
          <xdr:rowOff>95250</xdr:rowOff>
        </xdr:to>
        <xdr:sp macro="" textlink="">
          <xdr:nvSpPr>
            <xdr:cNvPr id="7172" name="CommandButton1" hidden="1">
              <a:extLst>
                <a:ext uri="{63B3BB69-23CF-44E3-9099-C40C66FF867C}">
                  <a14:compatExt spid="_x0000_s7172"/>
                </a:ext>
                <a:ext uri="{FF2B5EF4-FFF2-40B4-BE49-F238E27FC236}">
                  <a16:creationId xmlns:a16="http://schemas.microsoft.com/office/drawing/2014/main" id="{00000000-0008-0000-06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28575</xdr:colOff>
      <xdr:row>0</xdr:row>
      <xdr:rowOff>9525</xdr:rowOff>
    </xdr:from>
    <xdr:to>
      <xdr:col>8</xdr:col>
      <xdr:colOff>523875</xdr:colOff>
      <xdr:row>0</xdr:row>
      <xdr:rowOff>1171575</xdr:rowOff>
    </xdr:to>
    <xdr:sp macro="" textlink="">
      <xdr:nvSpPr>
        <xdr:cNvPr id="10241" name="Text Box 1">
          <a:extLst>
            <a:ext uri="{FF2B5EF4-FFF2-40B4-BE49-F238E27FC236}">
              <a16:creationId xmlns:a16="http://schemas.microsoft.com/office/drawing/2014/main" id="{00000000-0008-0000-0700-000001280000}"/>
            </a:ext>
          </a:extLst>
        </xdr:cNvPr>
        <xdr:cNvSpPr txBox="1">
          <a:spLocks noChangeArrowheads="1"/>
        </xdr:cNvSpPr>
      </xdr:nvSpPr>
      <xdr:spPr bwMode="auto">
        <a:xfrm>
          <a:off x="2800350" y="9525"/>
          <a:ext cx="5667375" cy="1162050"/>
        </a:xfrm>
        <a:prstGeom prst="rect">
          <a:avLst/>
        </a:prstGeom>
        <a:solidFill>
          <a:srgbClr val="CCFFCC"/>
        </a:solidFill>
        <a:ln w="9525">
          <a:solidFill>
            <a:srgbClr val="000000"/>
          </a:solidFill>
          <a:miter lim="800000"/>
          <a:headEnd/>
          <a:tailEnd/>
        </a:ln>
      </xdr:spPr>
      <xdr:txBody>
        <a:bodyPr vertOverflow="clip" wrap="square" lIns="27432" tIns="22860" rIns="0" bIns="0" anchor="t" upright="1"/>
        <a:lstStyle/>
        <a:p>
          <a:pPr algn="l" rtl="0">
            <a:defRPr sz="1000"/>
          </a:pPr>
          <a:r>
            <a:rPr lang="en-GB" sz="1000" b="1" i="0" u="none" strike="noStrike" baseline="0">
              <a:solidFill>
                <a:srgbClr val="000000"/>
              </a:solidFill>
              <a:latin typeface="Arial"/>
              <a:cs typeface="Arial"/>
            </a:rPr>
            <a:t>Work out the monthly profit or loss for Pontypandy Pine Warehouse by adding up all the Monthly Outgoings and taking it away from the Monthly Income (Sales from shop).</a:t>
          </a:r>
        </a:p>
        <a:p>
          <a:pPr algn="l" rtl="0">
            <a:defRPr sz="1000"/>
          </a:pPr>
          <a:r>
            <a:rPr lang="en-GB" sz="1000" b="1" i="0" u="none" strike="noStrike" baseline="0">
              <a:solidFill>
                <a:srgbClr val="000000"/>
              </a:solidFill>
              <a:latin typeface="Arial"/>
              <a:cs typeface="Arial"/>
            </a:rPr>
            <a:t>Then work out the owner, Mr. Edwards',  average weekly income by dividing the Profit / Loss by 4 (the number of weeks in a month).</a:t>
          </a:r>
        </a:p>
        <a:p>
          <a:pPr algn="l" rtl="0">
            <a:defRPr sz="1000"/>
          </a:pPr>
          <a:endParaRPr lang="en-GB" sz="1000" b="1" i="0" u="none" strike="noStrike" baseline="0">
            <a:solidFill>
              <a:srgbClr val="000000"/>
            </a:solidFill>
            <a:latin typeface="Arial"/>
            <a:cs typeface="Arial"/>
          </a:endParaRPr>
        </a:p>
        <a:p>
          <a:pPr algn="l" rtl="0">
            <a:defRPr sz="1000"/>
          </a:pPr>
          <a:r>
            <a:rPr lang="en-GB" sz="1000" b="1" i="0" u="none" strike="noStrike" baseline="0">
              <a:solidFill>
                <a:srgbClr val="000000"/>
              </a:solidFill>
              <a:latin typeface="Arial"/>
              <a:cs typeface="Arial"/>
            </a:rPr>
            <a:t>Go to </a:t>
          </a:r>
          <a:r>
            <a:rPr lang="en-GB" sz="1000" b="1" i="0" u="sng" strike="noStrike" baseline="0">
              <a:solidFill>
                <a:srgbClr val="000000"/>
              </a:solidFill>
              <a:latin typeface="Arial"/>
              <a:cs typeface="Arial"/>
            </a:rPr>
            <a:t>Exercise 12.</a:t>
          </a:r>
        </a:p>
      </xdr:txBody>
    </xdr:sp>
    <xdr:clientData/>
  </xdr:twoCellAnchor>
  <mc:AlternateContent xmlns:mc="http://schemas.openxmlformats.org/markup-compatibility/2006">
    <mc:Choice xmlns:a14="http://schemas.microsoft.com/office/drawing/2010/main" Requires="a14">
      <xdr:twoCellAnchor editAs="oneCell">
        <xdr:from>
          <xdr:col>4</xdr:col>
          <xdr:colOff>419100</xdr:colOff>
          <xdr:row>1</xdr:row>
          <xdr:rowOff>152400</xdr:rowOff>
        </xdr:from>
        <xdr:to>
          <xdr:col>6</xdr:col>
          <xdr:colOff>323850</xdr:colOff>
          <xdr:row>4</xdr:row>
          <xdr:rowOff>28575</xdr:rowOff>
        </xdr:to>
        <xdr:sp macro="" textlink="">
          <xdr:nvSpPr>
            <xdr:cNvPr id="10242" name="CommandButton1" hidden="1">
              <a:extLst>
                <a:ext uri="{63B3BB69-23CF-44E3-9099-C40C66FF867C}">
                  <a14:compatExt spid="_x0000_s10242"/>
                </a:ext>
                <a:ext uri="{FF2B5EF4-FFF2-40B4-BE49-F238E27FC236}">
                  <a16:creationId xmlns:a16="http://schemas.microsoft.com/office/drawing/2014/main" id="{00000000-0008-0000-07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2</xdr:col>
      <xdr:colOff>28575</xdr:colOff>
      <xdr:row>0</xdr:row>
      <xdr:rowOff>9525</xdr:rowOff>
    </xdr:from>
    <xdr:to>
      <xdr:col>8</xdr:col>
      <xdr:colOff>523875</xdr:colOff>
      <xdr:row>0</xdr:row>
      <xdr:rowOff>1171575</xdr:rowOff>
    </xdr:to>
    <xdr:sp macro="" textlink="">
      <xdr:nvSpPr>
        <xdr:cNvPr id="11265" name="Text Box 1">
          <a:extLst>
            <a:ext uri="{FF2B5EF4-FFF2-40B4-BE49-F238E27FC236}">
              <a16:creationId xmlns:a16="http://schemas.microsoft.com/office/drawing/2014/main" id="{00000000-0008-0000-0800-0000012C0000}"/>
            </a:ext>
          </a:extLst>
        </xdr:cNvPr>
        <xdr:cNvSpPr txBox="1">
          <a:spLocks noChangeArrowheads="1"/>
        </xdr:cNvSpPr>
      </xdr:nvSpPr>
      <xdr:spPr bwMode="auto">
        <a:xfrm>
          <a:off x="2676525" y="9525"/>
          <a:ext cx="6391275" cy="1162050"/>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0">
            <a:defRPr sz="1000"/>
          </a:pPr>
          <a:r>
            <a:rPr lang="en-GB" sz="1000" b="1" i="0" u="none" strike="noStrike" baseline="0">
              <a:solidFill>
                <a:srgbClr val="000000"/>
              </a:solidFill>
              <a:latin typeface="Arial"/>
              <a:cs typeface="Arial"/>
            </a:rPr>
            <a:t>Work out  Julie Driscoll's Monthly Budget.</a:t>
          </a:r>
        </a:p>
        <a:p>
          <a:pPr algn="l" rtl="0">
            <a:defRPr sz="1000"/>
          </a:pPr>
          <a:r>
            <a:rPr lang="en-GB" sz="1000" b="1" i="0" u="none" strike="noStrike" baseline="0">
              <a:solidFill>
                <a:srgbClr val="000000"/>
              </a:solidFill>
              <a:latin typeface="Arial"/>
              <a:cs typeface="Arial"/>
            </a:rPr>
            <a:t>Print out spreadsheet then print out spreadsheet showing formulas.</a:t>
          </a:r>
        </a:p>
        <a:p>
          <a:pPr algn="l" rtl="0">
            <a:defRPr sz="1000"/>
          </a:pPr>
          <a:r>
            <a:rPr lang="en-GB" sz="1000" b="1" i="0" u="none" strike="noStrike" baseline="0">
              <a:solidFill>
                <a:srgbClr val="000000"/>
              </a:solidFill>
              <a:latin typeface="Arial"/>
              <a:cs typeface="Arial"/>
            </a:rPr>
            <a:t> </a:t>
          </a:r>
        </a:p>
        <a:p>
          <a:pPr algn="l" rtl="0">
            <a:defRPr sz="1000"/>
          </a:pPr>
          <a:r>
            <a:rPr lang="en-GB" sz="1000" b="1" i="0" u="none" strike="noStrike" baseline="0">
              <a:solidFill>
                <a:srgbClr val="000000"/>
              </a:solidFill>
              <a:latin typeface="Arial"/>
              <a:cs typeface="Arial"/>
            </a:rPr>
            <a:t>Julie's lodger decides to move out. Change the spreadsheet. How does this affect Julie's 'Average Weekly Amount to Spend' ?</a:t>
          </a:r>
        </a:p>
        <a:p>
          <a:pPr algn="l" rtl="0">
            <a:defRPr sz="1000"/>
          </a:pPr>
          <a:endParaRPr lang="en-GB" sz="1000" b="1" i="0" u="none" strike="noStrike" baseline="0">
            <a:solidFill>
              <a:srgbClr val="000000"/>
            </a:solidFill>
            <a:latin typeface="Arial"/>
            <a:cs typeface="Arial"/>
          </a:endParaRPr>
        </a:p>
        <a:p>
          <a:pPr algn="l" rtl="0">
            <a:defRPr sz="1000"/>
          </a:pPr>
          <a:r>
            <a:rPr lang="en-GB" sz="1000" b="1" i="0" u="none" strike="noStrike" baseline="0">
              <a:solidFill>
                <a:srgbClr val="000000"/>
              </a:solidFill>
              <a:latin typeface="Arial"/>
              <a:cs typeface="Arial"/>
            </a:rPr>
            <a:t>See Teacher for </a:t>
          </a:r>
          <a:r>
            <a:rPr lang="en-GB" sz="1000" b="1" i="0" u="sng" strike="noStrike" baseline="0">
              <a:solidFill>
                <a:srgbClr val="000000"/>
              </a:solidFill>
              <a:latin typeface="Arial"/>
              <a:cs typeface="Arial"/>
            </a:rPr>
            <a:t>Band B Extension Exercises</a:t>
          </a:r>
          <a:r>
            <a:rPr lang="en-GB" sz="1000" b="1" i="0" u="none" strike="noStrike" baseline="0">
              <a:solidFill>
                <a:srgbClr val="000000"/>
              </a:solidFill>
              <a:latin typeface="Arial"/>
              <a:cs typeface="Arial"/>
            </a:rPr>
            <a:t>.</a:t>
          </a:r>
        </a:p>
      </xdr:txBody>
    </xdr:sp>
    <xdr:clientData/>
  </xdr:twoCellAnchor>
  <mc:AlternateContent xmlns:mc="http://schemas.openxmlformats.org/markup-compatibility/2006">
    <mc:Choice xmlns:a14="http://schemas.microsoft.com/office/drawing/2010/main" Requires="a14">
      <xdr:twoCellAnchor editAs="oneCell">
        <xdr:from>
          <xdr:col>4</xdr:col>
          <xdr:colOff>352425</xdr:colOff>
          <xdr:row>1</xdr:row>
          <xdr:rowOff>161925</xdr:rowOff>
        </xdr:from>
        <xdr:to>
          <xdr:col>6</xdr:col>
          <xdr:colOff>257175</xdr:colOff>
          <xdr:row>3</xdr:row>
          <xdr:rowOff>228600</xdr:rowOff>
        </xdr:to>
        <xdr:sp macro="" textlink="">
          <xdr:nvSpPr>
            <xdr:cNvPr id="11266" name="CommandButton1" hidden="1">
              <a:extLst>
                <a:ext uri="{63B3BB69-23CF-44E3-9099-C40C66FF867C}">
                  <a14:compatExt spid="_x0000_s11266"/>
                </a:ext>
                <a:ext uri="{FF2B5EF4-FFF2-40B4-BE49-F238E27FC236}">
                  <a16:creationId xmlns:a16="http://schemas.microsoft.com/office/drawing/2014/main" id="{00000000-0008-0000-08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1.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2.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1.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2.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1.emf"/><Relationship Id="rId4" Type="http://schemas.openxmlformats.org/officeDocument/2006/relationships/control" Target="../activeX/activeX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3.emf"/><Relationship Id="rId4" Type="http://schemas.openxmlformats.org/officeDocument/2006/relationships/control" Target="../activeX/activeX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24"/>
  <sheetViews>
    <sheetView topLeftCell="A10" zoomScale="180" zoomScaleNormal="180" workbookViewId="0">
      <selection activeCell="C9" sqref="C9"/>
    </sheetView>
  </sheetViews>
  <sheetFormatPr defaultColWidth="9.140625" defaultRowHeight="18" x14ac:dyDescent="0.25"/>
  <cols>
    <col min="1" max="1" width="6.140625" style="12" customWidth="1"/>
    <col min="2" max="2" width="9.85546875" style="12" customWidth="1"/>
    <col min="3" max="3" width="13.5703125" style="12" customWidth="1"/>
    <col min="4" max="4" width="8.42578125" style="12" customWidth="1"/>
    <col min="5" max="5" width="10.140625" style="12" customWidth="1"/>
    <col min="6" max="6" width="11" style="12" customWidth="1"/>
    <col min="7" max="7" width="6" style="12" bestFit="1" customWidth="1"/>
    <col min="8" max="8" width="10" style="12" customWidth="1"/>
    <col min="9" max="9" width="15.7109375" style="12" customWidth="1"/>
    <col min="10" max="10" width="4.85546875" style="12" customWidth="1"/>
    <col min="11" max="11" width="10.5703125" style="12" customWidth="1"/>
    <col min="12" max="12" width="12.28515625" style="12" customWidth="1"/>
    <col min="13" max="16384" width="9.140625" style="12"/>
  </cols>
  <sheetData>
    <row r="1" spans="1:12" x14ac:dyDescent="0.25">
      <c r="A1" s="3" t="s">
        <v>24</v>
      </c>
      <c r="B1" s="3"/>
      <c r="C1" s="1"/>
      <c r="D1" s="1"/>
      <c r="E1" s="1"/>
      <c r="F1" s="1"/>
      <c r="G1" s="1"/>
      <c r="H1" s="1"/>
      <c r="I1" s="1"/>
    </row>
    <row r="2" spans="1:12" ht="24.75" customHeight="1" x14ac:dyDescent="0.25">
      <c r="A2" s="18"/>
      <c r="B2" s="13"/>
      <c r="C2" s="13"/>
      <c r="D2" s="13"/>
      <c r="E2" s="14"/>
      <c r="F2" s="14"/>
      <c r="G2" s="15"/>
      <c r="H2" s="15"/>
      <c r="I2" s="15"/>
      <c r="J2" s="14"/>
      <c r="K2" s="14"/>
      <c r="L2" s="14"/>
    </row>
    <row r="3" spans="1:12" x14ac:dyDescent="0.25">
      <c r="A3" s="14"/>
      <c r="B3" s="14"/>
      <c r="C3" s="14">
        <v>234</v>
      </c>
      <c r="D3" s="14"/>
      <c r="E3" s="14"/>
      <c r="F3" s="14">
        <v>4896</v>
      </c>
      <c r="G3" s="14"/>
      <c r="H3" s="14"/>
      <c r="I3" s="14">
        <v>89705</v>
      </c>
      <c r="J3" s="14"/>
      <c r="K3" s="14"/>
      <c r="L3" s="14">
        <v>78906</v>
      </c>
    </row>
    <row r="4" spans="1:12" ht="18.75" thickBot="1" x14ac:dyDescent="0.3">
      <c r="A4" s="14"/>
      <c r="B4" s="14" t="s">
        <v>25</v>
      </c>
      <c r="C4" s="14">
        <v>657</v>
      </c>
      <c r="D4" s="14"/>
      <c r="E4" s="14" t="s">
        <v>25</v>
      </c>
      <c r="F4" s="14">
        <v>9075</v>
      </c>
      <c r="G4" s="14"/>
      <c r="H4" s="14" t="s">
        <v>25</v>
      </c>
      <c r="I4" s="14">
        <v>70932</v>
      </c>
      <c r="J4" s="14"/>
      <c r="K4" s="14" t="s">
        <v>25</v>
      </c>
      <c r="L4" s="14">
        <v>90654</v>
      </c>
    </row>
    <row r="5" spans="1:12" ht="19.5" thickTop="1" thickBot="1" x14ac:dyDescent="0.3">
      <c r="A5" s="14"/>
      <c r="B5" s="14"/>
      <c r="C5" s="64"/>
      <c r="D5" s="14"/>
      <c r="E5" s="14"/>
      <c r="F5" s="64"/>
      <c r="G5" s="14"/>
      <c r="H5" s="14"/>
      <c r="I5" s="64"/>
      <c r="J5" s="14"/>
      <c r="K5" s="14"/>
      <c r="L5" s="64"/>
    </row>
    <row r="6" spans="1:12" ht="18.75" thickTop="1" x14ac:dyDescent="0.25">
      <c r="A6" s="14"/>
      <c r="B6" s="14"/>
      <c r="C6" s="14"/>
      <c r="D6" s="14"/>
      <c r="E6" s="14"/>
      <c r="F6" s="14"/>
      <c r="G6" s="14"/>
      <c r="H6" s="14"/>
      <c r="I6" s="14"/>
      <c r="J6" s="14"/>
      <c r="K6" s="14"/>
      <c r="L6" s="14"/>
    </row>
    <row r="7" spans="1:12" x14ac:dyDescent="0.25">
      <c r="A7" s="14"/>
      <c r="B7" s="14"/>
      <c r="C7" s="14">
        <v>567</v>
      </c>
      <c r="D7" s="14"/>
      <c r="E7" s="14"/>
      <c r="F7" s="14">
        <v>9765</v>
      </c>
      <c r="G7" s="14"/>
      <c r="H7" s="14"/>
      <c r="I7" s="14">
        <v>76032</v>
      </c>
      <c r="J7" s="14"/>
      <c r="K7" s="14"/>
      <c r="L7" s="14">
        <v>84375</v>
      </c>
    </row>
    <row r="8" spans="1:12" ht="18.75" thickBot="1" x14ac:dyDescent="0.3">
      <c r="A8" s="14"/>
      <c r="B8" s="14" t="s">
        <v>26</v>
      </c>
      <c r="C8" s="14">
        <v>413</v>
      </c>
      <c r="D8" s="14"/>
      <c r="E8" s="14" t="s">
        <v>26</v>
      </c>
      <c r="F8" s="14">
        <v>4381</v>
      </c>
      <c r="G8" s="14"/>
      <c r="H8" s="14" t="s">
        <v>26</v>
      </c>
      <c r="I8" s="14">
        <v>32098</v>
      </c>
      <c r="J8" s="14"/>
      <c r="K8" s="14" t="s">
        <v>26</v>
      </c>
      <c r="L8" s="14">
        <v>76043</v>
      </c>
    </row>
    <row r="9" spans="1:12" ht="19.5" thickTop="1" thickBot="1" x14ac:dyDescent="0.3">
      <c r="A9" s="14"/>
      <c r="B9" s="14"/>
      <c r="C9" s="64"/>
      <c r="D9" s="14"/>
      <c r="E9" s="14"/>
      <c r="F9" s="64"/>
      <c r="G9" s="14"/>
      <c r="H9" s="14"/>
      <c r="I9" s="64"/>
      <c r="J9" s="14"/>
      <c r="K9" s="14"/>
      <c r="L9" s="64"/>
    </row>
    <row r="10" spans="1:12" ht="18.75" thickTop="1" x14ac:dyDescent="0.25">
      <c r="A10" s="14"/>
      <c r="B10" s="14"/>
      <c r="C10" s="14"/>
      <c r="D10" s="14"/>
      <c r="E10" s="14"/>
      <c r="F10" s="14"/>
      <c r="G10" s="14"/>
      <c r="H10" s="14"/>
      <c r="I10" s="14"/>
      <c r="J10" s="14"/>
      <c r="K10" s="14"/>
      <c r="L10" s="14"/>
    </row>
    <row r="11" spans="1:12" x14ac:dyDescent="0.25">
      <c r="A11" s="14"/>
      <c r="B11" s="14"/>
      <c r="C11" s="14">
        <v>35</v>
      </c>
      <c r="D11" s="14"/>
      <c r="E11" s="14"/>
      <c r="F11" s="14">
        <v>564</v>
      </c>
      <c r="G11" s="14"/>
      <c r="H11" s="14"/>
      <c r="I11" s="14">
        <v>342</v>
      </c>
      <c r="J11" s="14"/>
      <c r="K11" s="14"/>
      <c r="L11" s="14">
        <v>4302</v>
      </c>
    </row>
    <row r="12" spans="1:12" ht="20.25" customHeight="1" thickBot="1" x14ac:dyDescent="0.3">
      <c r="A12" s="14"/>
      <c r="B12" s="14" t="s">
        <v>27</v>
      </c>
      <c r="C12" s="14">
        <v>67</v>
      </c>
      <c r="D12" s="14"/>
      <c r="E12" s="14" t="s">
        <v>27</v>
      </c>
      <c r="F12" s="14">
        <v>23</v>
      </c>
      <c r="G12" s="14"/>
      <c r="H12" s="14" t="s">
        <v>27</v>
      </c>
      <c r="I12" s="14">
        <v>521</v>
      </c>
      <c r="J12" s="14"/>
      <c r="K12" s="14" t="s">
        <v>27</v>
      </c>
      <c r="L12" s="14">
        <v>2167</v>
      </c>
    </row>
    <row r="13" spans="1:12" ht="20.25" customHeight="1" thickTop="1" thickBot="1" x14ac:dyDescent="0.3">
      <c r="A13" s="14"/>
      <c r="B13" s="14"/>
      <c r="C13" s="64"/>
      <c r="D13" s="14"/>
      <c r="E13" s="14"/>
      <c r="F13" s="64"/>
      <c r="G13" s="14"/>
      <c r="H13" s="14"/>
      <c r="I13" s="64"/>
      <c r="J13" s="14"/>
      <c r="K13" s="14"/>
      <c r="L13" s="64"/>
    </row>
    <row r="14" spans="1:12" ht="18.75" thickTop="1" x14ac:dyDescent="0.25">
      <c r="A14" s="14"/>
      <c r="B14" s="14"/>
      <c r="C14" s="14"/>
      <c r="D14" s="14"/>
      <c r="E14" s="14"/>
      <c r="F14" s="14"/>
      <c r="G14" s="14"/>
      <c r="H14" s="14"/>
      <c r="I14" s="14"/>
      <c r="J14" s="14"/>
      <c r="K14" s="14"/>
      <c r="L14" s="14"/>
    </row>
    <row r="15" spans="1:12" x14ac:dyDescent="0.25">
      <c r="A15" s="14"/>
      <c r="B15" s="14"/>
      <c r="C15" s="14">
        <v>408</v>
      </c>
      <c r="D15" s="14"/>
      <c r="E15" s="14"/>
      <c r="F15" s="14">
        <v>1404</v>
      </c>
      <c r="G15" s="14"/>
      <c r="H15" s="14"/>
      <c r="I15" s="14">
        <v>2352</v>
      </c>
      <c r="J15" s="14"/>
      <c r="K15" s="14"/>
      <c r="L15" s="15">
        <v>10353</v>
      </c>
    </row>
    <row r="16" spans="1:12" ht="18.75" thickBot="1" x14ac:dyDescent="0.3">
      <c r="A16" s="14"/>
      <c r="B16" s="14" t="s">
        <v>28</v>
      </c>
      <c r="C16" s="14">
        <v>12</v>
      </c>
      <c r="D16" s="14"/>
      <c r="E16" s="14" t="s">
        <v>28</v>
      </c>
      <c r="F16" s="14">
        <v>18</v>
      </c>
      <c r="G16" s="14"/>
      <c r="H16" s="14" t="s">
        <v>28</v>
      </c>
      <c r="I16" s="14">
        <v>112</v>
      </c>
      <c r="J16" s="14"/>
      <c r="K16" s="14" t="s">
        <v>28</v>
      </c>
      <c r="L16" s="15">
        <v>51</v>
      </c>
    </row>
    <row r="17" spans="1:12" ht="19.5" thickTop="1" thickBot="1" x14ac:dyDescent="0.3">
      <c r="A17" s="14"/>
      <c r="B17" s="14"/>
      <c r="C17" s="64"/>
      <c r="D17" s="14"/>
      <c r="E17" s="14"/>
      <c r="F17" s="64"/>
      <c r="G17" s="14"/>
      <c r="H17" s="14"/>
      <c r="I17" s="64"/>
      <c r="J17" s="14"/>
      <c r="K17" s="14"/>
      <c r="L17" s="64"/>
    </row>
    <row r="18" spans="1:12" ht="18.75" thickTop="1" x14ac:dyDescent="0.25">
      <c r="A18" s="90" t="s">
        <v>29</v>
      </c>
      <c r="B18" s="91"/>
      <c r="C18" s="14"/>
      <c r="D18" s="14"/>
      <c r="E18" s="14"/>
      <c r="F18" s="14"/>
      <c r="G18" s="14"/>
      <c r="H18" s="14"/>
      <c r="I18" s="14"/>
      <c r="J18" s="14"/>
      <c r="K18" s="14"/>
      <c r="L18" s="14"/>
    </row>
    <row r="19" spans="1:12" ht="18" customHeight="1" x14ac:dyDescent="0.25">
      <c r="A19" s="92"/>
      <c r="B19" s="93"/>
      <c r="C19" s="17">
        <v>234</v>
      </c>
      <c r="D19" s="16">
        <v>456</v>
      </c>
      <c r="E19" s="16">
        <v>567</v>
      </c>
      <c r="F19" s="16">
        <v>97</v>
      </c>
      <c r="G19" s="16">
        <v>11</v>
      </c>
      <c r="H19" s="16">
        <v>432</v>
      </c>
      <c r="I19" s="65"/>
      <c r="J19" s="14"/>
      <c r="K19" s="96"/>
      <c r="L19" s="97"/>
    </row>
    <row r="20" spans="1:12" x14ac:dyDescent="0.25">
      <c r="A20" s="92"/>
      <c r="B20" s="93"/>
      <c r="C20" s="17">
        <v>213</v>
      </c>
      <c r="D20" s="16">
        <v>86</v>
      </c>
      <c r="E20" s="16">
        <v>53</v>
      </c>
      <c r="F20" s="16">
        <v>632</v>
      </c>
      <c r="G20" s="16">
        <v>31</v>
      </c>
      <c r="H20" s="16">
        <v>49</v>
      </c>
      <c r="I20" s="65"/>
      <c r="J20" s="14"/>
      <c r="K20" s="98"/>
      <c r="L20" s="99"/>
    </row>
    <row r="21" spans="1:12" x14ac:dyDescent="0.25">
      <c r="A21" s="92"/>
      <c r="B21" s="93"/>
      <c r="C21" s="17">
        <v>345</v>
      </c>
      <c r="D21" s="16">
        <v>56</v>
      </c>
      <c r="E21" s="16">
        <v>865</v>
      </c>
      <c r="F21" s="16">
        <v>29</v>
      </c>
      <c r="G21" s="16">
        <v>42</v>
      </c>
      <c r="H21" s="16">
        <v>34</v>
      </c>
      <c r="I21" s="65"/>
      <c r="J21" s="14"/>
      <c r="K21" s="98"/>
      <c r="L21" s="99"/>
    </row>
    <row r="22" spans="1:12" x14ac:dyDescent="0.25">
      <c r="A22" s="92"/>
      <c r="B22" s="93"/>
      <c r="C22" s="17">
        <v>76</v>
      </c>
      <c r="D22" s="16">
        <v>98</v>
      </c>
      <c r="E22" s="16">
        <v>342</v>
      </c>
      <c r="F22" s="16">
        <v>76</v>
      </c>
      <c r="G22" s="16">
        <v>64</v>
      </c>
      <c r="H22" s="16">
        <v>93</v>
      </c>
      <c r="I22" s="65"/>
      <c r="J22" s="14"/>
      <c r="K22" s="98"/>
      <c r="L22" s="99"/>
    </row>
    <row r="23" spans="1:12" x14ac:dyDescent="0.25">
      <c r="A23" s="94"/>
      <c r="B23" s="95"/>
      <c r="C23" s="66"/>
      <c r="D23" s="66"/>
      <c r="E23" s="66"/>
      <c r="F23" s="66"/>
      <c r="G23" s="66"/>
      <c r="H23" s="66"/>
      <c r="I23" s="65"/>
      <c r="J23" s="14"/>
      <c r="K23" s="100"/>
      <c r="L23" s="101"/>
    </row>
    <row r="24" spans="1:12" x14ac:dyDescent="0.25">
      <c r="A24" s="14"/>
      <c r="B24" s="14"/>
      <c r="C24" s="14"/>
      <c r="D24" s="14"/>
      <c r="E24" s="14"/>
      <c r="F24" s="14"/>
      <c r="G24" s="14"/>
      <c r="H24" s="14"/>
      <c r="I24" s="14"/>
      <c r="J24" s="14"/>
      <c r="K24" s="14"/>
      <c r="L24" s="14"/>
    </row>
  </sheetData>
  <mergeCells count="2">
    <mergeCell ref="A18:B23"/>
    <mergeCell ref="K19:L23"/>
  </mergeCells>
  <phoneticPr fontId="0" type="noConversion"/>
  <printOptions gridLines="1"/>
  <pageMargins left="0.75" right="0.75" top="1" bottom="1" header="0.5" footer="0.5"/>
  <pageSetup paperSize="9" orientation="landscape" r:id="rId1"/>
  <headerFooter alignWithMargins="0">
    <oddHeader>&amp;LName:&amp;RSimple Formulas</oddHeader>
    <oddFooter>&amp;RBand A- Exercise 1(L3)</oddFooter>
  </headerFooter>
  <drawing r:id="rId2"/>
  <legacyDrawing r:id="rId3"/>
  <controls>
    <mc:AlternateContent xmlns:mc="http://schemas.openxmlformats.org/markup-compatibility/2006">
      <mc:Choice Requires="x14">
        <control shapeId="13313" r:id="rId4" name="CommandButton1">
          <controlPr defaultSize="0" autoLine="0" autoPict="0" r:id="rId5">
            <anchor moveWithCells="1">
              <from>
                <xdr:col>10</xdr:col>
                <xdr:colOff>209550</xdr:colOff>
                <xdr:row>18</xdr:row>
                <xdr:rowOff>161925</xdr:rowOff>
              </from>
              <to>
                <xdr:col>11</xdr:col>
                <xdr:colOff>628650</xdr:colOff>
                <xdr:row>21</xdr:row>
                <xdr:rowOff>219075</xdr:rowOff>
              </to>
            </anchor>
          </controlPr>
        </control>
      </mc:Choice>
      <mc:Fallback>
        <control shapeId="1331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17"/>
  <sheetViews>
    <sheetView zoomScale="140" zoomScaleNormal="140" workbookViewId="0">
      <selection activeCell="D3" sqref="D3"/>
    </sheetView>
  </sheetViews>
  <sheetFormatPr defaultRowHeight="12.75" x14ac:dyDescent="0.2"/>
  <cols>
    <col min="1" max="1" width="18.42578125" customWidth="1"/>
    <col min="2" max="2" width="16.42578125" customWidth="1"/>
    <col min="3" max="3" width="23" customWidth="1"/>
    <col min="4" max="4" width="15" customWidth="1"/>
  </cols>
  <sheetData>
    <row r="1" spans="1:7" ht="15.75" x14ac:dyDescent="0.25">
      <c r="A1" s="3" t="s">
        <v>2</v>
      </c>
      <c r="B1" s="3"/>
      <c r="C1" s="1"/>
      <c r="D1" s="1"/>
      <c r="E1" s="1"/>
      <c r="F1" s="1"/>
      <c r="G1" s="1"/>
    </row>
    <row r="2" spans="1:7" ht="15.75" x14ac:dyDescent="0.25">
      <c r="A2" s="3" t="s">
        <v>0</v>
      </c>
      <c r="B2" s="3" t="s">
        <v>1</v>
      </c>
      <c r="C2" s="3" t="s">
        <v>16</v>
      </c>
      <c r="D2" s="3" t="s">
        <v>14</v>
      </c>
      <c r="E2" s="3"/>
      <c r="F2" s="1"/>
      <c r="G2" s="1"/>
    </row>
    <row r="3" spans="1:7" ht="15" x14ac:dyDescent="0.2">
      <c r="A3" s="1" t="s">
        <v>3</v>
      </c>
      <c r="B3" s="1">
        <v>92</v>
      </c>
      <c r="C3" s="2">
        <v>0.38</v>
      </c>
      <c r="D3" s="67"/>
      <c r="E3" s="1"/>
      <c r="F3" s="1"/>
      <c r="G3" s="1"/>
    </row>
    <row r="4" spans="1:7" ht="15" x14ac:dyDescent="0.2">
      <c r="A4" s="1" t="s">
        <v>4</v>
      </c>
      <c r="B4" s="1">
        <v>68</v>
      </c>
      <c r="C4" s="2">
        <v>0.35</v>
      </c>
      <c r="D4" s="67"/>
      <c r="E4" s="1"/>
      <c r="F4" s="1"/>
      <c r="G4" s="1"/>
    </row>
    <row r="5" spans="1:7" ht="15" x14ac:dyDescent="0.2">
      <c r="A5" s="1" t="s">
        <v>5</v>
      </c>
      <c r="B5" s="1">
        <v>86</v>
      </c>
      <c r="C5" s="2">
        <v>0.34</v>
      </c>
      <c r="D5" s="67"/>
      <c r="E5" s="1"/>
      <c r="F5" s="1"/>
      <c r="G5" s="1"/>
    </row>
    <row r="6" spans="1:7" ht="15" x14ac:dyDescent="0.2">
      <c r="A6" s="1" t="s">
        <v>6</v>
      </c>
      <c r="B6" s="1">
        <v>73</v>
      </c>
      <c r="C6" s="2">
        <v>0.36</v>
      </c>
      <c r="D6" s="67"/>
      <c r="E6" s="1"/>
      <c r="F6" s="1"/>
      <c r="G6" s="1"/>
    </row>
    <row r="7" spans="1:7" ht="15" x14ac:dyDescent="0.2">
      <c r="A7" s="1" t="s">
        <v>13</v>
      </c>
      <c r="B7" s="1">
        <v>59</v>
      </c>
      <c r="C7" s="2">
        <v>0.32</v>
      </c>
      <c r="D7" s="67"/>
      <c r="E7" s="1"/>
      <c r="F7" s="1"/>
      <c r="G7" s="1"/>
    </row>
    <row r="8" spans="1:7" ht="15" x14ac:dyDescent="0.2">
      <c r="A8" s="1" t="s">
        <v>7</v>
      </c>
      <c r="B8" s="1">
        <v>180</v>
      </c>
      <c r="C8" s="2">
        <v>0.3</v>
      </c>
      <c r="D8" s="67"/>
      <c r="E8" s="1"/>
      <c r="F8" s="1"/>
      <c r="G8" s="1"/>
    </row>
    <row r="9" spans="1:7" ht="15" x14ac:dyDescent="0.2">
      <c r="A9" s="1" t="s">
        <v>10</v>
      </c>
      <c r="B9" s="1">
        <v>98</v>
      </c>
      <c r="C9" s="2">
        <v>0.32</v>
      </c>
      <c r="D9" s="67"/>
      <c r="E9" s="1"/>
      <c r="F9" s="1"/>
      <c r="G9" s="1"/>
    </row>
    <row r="10" spans="1:7" ht="15" x14ac:dyDescent="0.2">
      <c r="A10" s="1" t="s">
        <v>8</v>
      </c>
      <c r="B10" s="1">
        <v>55</v>
      </c>
      <c r="C10" s="2">
        <v>0.15</v>
      </c>
      <c r="D10" s="67"/>
      <c r="E10" s="1"/>
      <c r="F10" s="1"/>
      <c r="G10" s="1"/>
    </row>
    <row r="11" spans="1:7" ht="15" x14ac:dyDescent="0.2">
      <c r="A11" s="1" t="s">
        <v>9</v>
      </c>
      <c r="B11" s="1">
        <v>60</v>
      </c>
      <c r="C11" s="2">
        <v>0.15</v>
      </c>
      <c r="D11" s="67"/>
      <c r="E11" s="1"/>
      <c r="F11" s="1"/>
      <c r="G11" s="1"/>
    </row>
    <row r="12" spans="1:7" ht="15" x14ac:dyDescent="0.2">
      <c r="A12" s="1" t="s">
        <v>11</v>
      </c>
      <c r="B12" s="1">
        <v>170</v>
      </c>
      <c r="C12" s="2">
        <v>0.45</v>
      </c>
      <c r="D12" s="67"/>
      <c r="E12" s="1"/>
      <c r="F12" s="1"/>
      <c r="G12" s="1"/>
    </row>
    <row r="13" spans="1:7" ht="15" x14ac:dyDescent="0.2">
      <c r="A13" s="1" t="s">
        <v>12</v>
      </c>
      <c r="B13" s="1">
        <v>156</v>
      </c>
      <c r="C13" s="2">
        <v>0.3</v>
      </c>
      <c r="D13" s="67"/>
      <c r="E13" s="1"/>
      <c r="F13" s="1"/>
      <c r="G13" s="1"/>
    </row>
    <row r="14" spans="1:7" ht="15.75" x14ac:dyDescent="0.25">
      <c r="A14" s="1"/>
      <c r="B14" s="1"/>
      <c r="C14" s="3" t="s">
        <v>15</v>
      </c>
      <c r="D14" s="68"/>
      <c r="E14" s="1"/>
      <c r="F14" s="1"/>
      <c r="G14" s="1"/>
    </row>
    <row r="15" spans="1:7" ht="15" x14ac:dyDescent="0.2">
      <c r="A15" s="1"/>
      <c r="B15" s="1"/>
      <c r="C15" s="1"/>
      <c r="D15" s="1"/>
      <c r="E15" s="1"/>
      <c r="F15" s="1"/>
      <c r="G15" s="1"/>
    </row>
    <row r="16" spans="1:7" ht="15" x14ac:dyDescent="0.2">
      <c r="A16" s="1"/>
      <c r="B16" s="1"/>
      <c r="C16" s="1"/>
      <c r="D16" s="1"/>
      <c r="E16" s="1"/>
      <c r="F16" s="1"/>
      <c r="G16" s="1"/>
    </row>
    <row r="17" spans="1:7" ht="15" x14ac:dyDescent="0.2">
      <c r="A17" s="1"/>
      <c r="B17" s="1"/>
      <c r="C17" s="1"/>
      <c r="D17" s="1"/>
      <c r="E17" s="1"/>
      <c r="F17" s="1"/>
      <c r="G17" s="1"/>
    </row>
  </sheetData>
  <phoneticPr fontId="0" type="noConversion"/>
  <printOptions gridLines="1"/>
  <pageMargins left="0.75" right="0.75" top="1" bottom="1" header="0.5" footer="0.5"/>
  <pageSetup paperSize="9" orientation="landscape" r:id="rId1"/>
  <headerFooter alignWithMargins="0">
    <oddHeader>&amp;LName:&amp;RTuck Shop 1</oddHeader>
    <oddFooter>&amp;RBand A- Exercise 2(L3)</oddFooter>
  </headerFooter>
  <drawing r:id="rId2"/>
  <legacyDrawing r:id="rId3"/>
  <controls>
    <mc:AlternateContent xmlns:mc="http://schemas.openxmlformats.org/markup-compatibility/2006">
      <mc:Choice Requires="x14">
        <control shapeId="1026" r:id="rId4" name="CommandButton1">
          <controlPr defaultSize="0" autoLine="0" r:id="rId5">
            <anchor moveWithCells="1">
              <from>
                <xdr:col>4</xdr:col>
                <xdr:colOff>323850</xdr:colOff>
                <xdr:row>2</xdr:row>
                <xdr:rowOff>9525</xdr:rowOff>
              </from>
              <to>
                <xdr:col>6</xdr:col>
                <xdr:colOff>228600</xdr:colOff>
                <xdr:row>5</xdr:row>
                <xdr:rowOff>180975</xdr:rowOff>
              </to>
            </anchor>
          </controlPr>
        </control>
      </mc:Choice>
      <mc:Fallback>
        <control shapeId="1026" r:id="rId4"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17"/>
  <sheetViews>
    <sheetView workbookViewId="0">
      <selection activeCell="E3" sqref="E3"/>
    </sheetView>
  </sheetViews>
  <sheetFormatPr defaultRowHeight="12.75" x14ac:dyDescent="0.2"/>
  <cols>
    <col min="1" max="1" width="19" customWidth="1"/>
    <col min="2" max="2" width="11" customWidth="1"/>
    <col min="3" max="3" width="11.140625" customWidth="1"/>
    <col min="4" max="5" width="13.42578125" customWidth="1"/>
    <col min="6" max="6" width="14.28515625" customWidth="1"/>
  </cols>
  <sheetData>
    <row r="1" spans="1:6" ht="15.75" x14ac:dyDescent="0.25">
      <c r="A1" s="7" t="s">
        <v>2</v>
      </c>
      <c r="B1" s="7"/>
      <c r="C1" s="8"/>
      <c r="D1" s="8"/>
      <c r="E1" s="8"/>
      <c r="F1" s="8"/>
    </row>
    <row r="2" spans="1:6" s="4" customFormat="1" ht="31.5" x14ac:dyDescent="0.25">
      <c r="A2" s="9" t="s">
        <v>0</v>
      </c>
      <c r="B2" s="9" t="s">
        <v>1</v>
      </c>
      <c r="C2" s="9" t="s">
        <v>16</v>
      </c>
      <c r="D2" s="9" t="s">
        <v>17</v>
      </c>
      <c r="E2" s="9" t="s">
        <v>21</v>
      </c>
      <c r="F2" s="9" t="s">
        <v>23</v>
      </c>
    </row>
    <row r="3" spans="1:6" ht="15" x14ac:dyDescent="0.2">
      <c r="A3" s="8" t="s">
        <v>3</v>
      </c>
      <c r="B3" s="8">
        <v>92</v>
      </c>
      <c r="C3" s="10">
        <v>0.38</v>
      </c>
      <c r="D3" s="10">
        <v>0.27</v>
      </c>
      <c r="E3" s="67"/>
      <c r="F3" s="67"/>
    </row>
    <row r="4" spans="1:6" ht="15" x14ac:dyDescent="0.2">
      <c r="A4" s="8" t="s">
        <v>4</v>
      </c>
      <c r="B4" s="8">
        <v>68</v>
      </c>
      <c r="C4" s="10">
        <v>0.35</v>
      </c>
      <c r="D4" s="10">
        <v>0.26</v>
      </c>
      <c r="E4" s="67"/>
      <c r="F4" s="67"/>
    </row>
    <row r="5" spans="1:6" ht="15" x14ac:dyDescent="0.2">
      <c r="A5" s="8" t="s">
        <v>5</v>
      </c>
      <c r="B5" s="8">
        <v>86</v>
      </c>
      <c r="C5" s="10">
        <v>0.34</v>
      </c>
      <c r="D5" s="10">
        <v>0.25</v>
      </c>
      <c r="E5" s="67"/>
      <c r="F5" s="67"/>
    </row>
    <row r="6" spans="1:6" ht="15" x14ac:dyDescent="0.2">
      <c r="A6" s="8" t="s">
        <v>6</v>
      </c>
      <c r="B6" s="8">
        <v>73</v>
      </c>
      <c r="C6" s="10">
        <v>0.36</v>
      </c>
      <c r="D6" s="10">
        <v>0.26</v>
      </c>
      <c r="E6" s="67"/>
      <c r="F6" s="67"/>
    </row>
    <row r="7" spans="1:6" ht="15" x14ac:dyDescent="0.2">
      <c r="A7" s="8" t="s">
        <v>13</v>
      </c>
      <c r="B7" s="8">
        <v>59</v>
      </c>
      <c r="C7" s="10">
        <v>0.32</v>
      </c>
      <c r="D7" s="10">
        <v>0.24</v>
      </c>
      <c r="E7" s="67"/>
      <c r="F7" s="67"/>
    </row>
    <row r="8" spans="1:6" ht="15" x14ac:dyDescent="0.2">
      <c r="A8" s="8" t="s">
        <v>7</v>
      </c>
      <c r="B8" s="8">
        <v>180</v>
      </c>
      <c r="C8" s="10">
        <v>0.3</v>
      </c>
      <c r="D8" s="10">
        <v>0.19</v>
      </c>
      <c r="E8" s="67"/>
      <c r="F8" s="67"/>
    </row>
    <row r="9" spans="1:6" ht="15" x14ac:dyDescent="0.2">
      <c r="A9" s="8" t="s">
        <v>10</v>
      </c>
      <c r="B9" s="8">
        <v>98</v>
      </c>
      <c r="C9" s="10">
        <v>0.32</v>
      </c>
      <c r="D9" s="10">
        <v>0.23</v>
      </c>
      <c r="E9" s="67"/>
      <c r="F9" s="67"/>
    </row>
    <row r="10" spans="1:6" ht="15" x14ac:dyDescent="0.2">
      <c r="A10" s="8" t="s">
        <v>8</v>
      </c>
      <c r="B10" s="8">
        <v>55</v>
      </c>
      <c r="C10" s="10">
        <v>0.15</v>
      </c>
      <c r="D10" s="10">
        <v>0.11</v>
      </c>
      <c r="E10" s="67"/>
      <c r="F10" s="67"/>
    </row>
    <row r="11" spans="1:6" ht="15" x14ac:dyDescent="0.2">
      <c r="A11" s="8" t="s">
        <v>9</v>
      </c>
      <c r="B11" s="8">
        <v>60</v>
      </c>
      <c r="C11" s="10">
        <v>0.15</v>
      </c>
      <c r="D11" s="10">
        <v>0.1</v>
      </c>
      <c r="E11" s="67"/>
      <c r="F11" s="67"/>
    </row>
    <row r="12" spans="1:6" ht="15" x14ac:dyDescent="0.2">
      <c r="A12" s="8" t="s">
        <v>11</v>
      </c>
      <c r="B12" s="8">
        <v>170</v>
      </c>
      <c r="C12" s="10">
        <v>0.45</v>
      </c>
      <c r="D12" s="10">
        <v>0.32</v>
      </c>
      <c r="E12" s="67"/>
      <c r="F12" s="67"/>
    </row>
    <row r="13" spans="1:6" ht="15" x14ac:dyDescent="0.2">
      <c r="A13" s="8" t="s">
        <v>12</v>
      </c>
      <c r="B13" s="8">
        <v>156</v>
      </c>
      <c r="C13" s="10">
        <v>0.3</v>
      </c>
      <c r="D13" s="10">
        <v>0.21</v>
      </c>
      <c r="E13" s="67"/>
      <c r="F13" s="67"/>
    </row>
    <row r="14" spans="1:6" ht="15" x14ac:dyDescent="0.2">
      <c r="A14" s="8" t="s">
        <v>18</v>
      </c>
      <c r="B14" s="8">
        <v>120</v>
      </c>
      <c r="C14" s="10">
        <v>0.65</v>
      </c>
      <c r="D14" s="10">
        <v>0.45</v>
      </c>
      <c r="E14" s="67"/>
      <c r="F14" s="67"/>
    </row>
    <row r="15" spans="1:6" ht="15" x14ac:dyDescent="0.2">
      <c r="A15" s="8" t="s">
        <v>19</v>
      </c>
      <c r="B15" s="8">
        <v>135</v>
      </c>
      <c r="C15" s="10">
        <v>0.7</v>
      </c>
      <c r="D15" s="10">
        <v>0.48</v>
      </c>
      <c r="E15" s="67"/>
      <c r="F15" s="67"/>
    </row>
    <row r="16" spans="1:6" ht="15" x14ac:dyDescent="0.2">
      <c r="A16" s="8" t="s">
        <v>20</v>
      </c>
      <c r="B16" s="8">
        <v>85</v>
      </c>
      <c r="C16" s="10">
        <v>0.75</v>
      </c>
      <c r="D16" s="10">
        <v>0.52</v>
      </c>
      <c r="E16" s="67"/>
      <c r="F16" s="67"/>
    </row>
    <row r="17" spans="1:6" ht="15.75" x14ac:dyDescent="0.25">
      <c r="A17" s="11"/>
      <c r="B17" s="11"/>
      <c r="C17" s="11"/>
      <c r="D17" s="102" t="s">
        <v>22</v>
      </c>
      <c r="E17" s="102"/>
      <c r="F17" s="69"/>
    </row>
  </sheetData>
  <mergeCells count="1">
    <mergeCell ref="D17:E17"/>
  </mergeCells>
  <phoneticPr fontId="0" type="noConversion"/>
  <printOptions gridLines="1"/>
  <pageMargins left="0.75" right="0.75" top="1" bottom="1" header="0.5" footer="0.5"/>
  <pageSetup paperSize="9" orientation="landscape" r:id="rId1"/>
  <headerFooter alignWithMargins="0">
    <oddHeader>&amp;LName:&amp;RTuck Shop 2</oddHeader>
    <oddFooter>&amp;RBand A- Exercise 3(L4)</oddFooter>
  </headerFooter>
  <drawing r:id="rId2"/>
  <legacyDrawing r:id="rId3"/>
  <controls>
    <mc:AlternateContent xmlns:mc="http://schemas.openxmlformats.org/markup-compatibility/2006">
      <mc:Choice Requires="x14">
        <control shapeId="2050" r:id="rId4" name="CommandButton1">
          <controlPr defaultSize="0" autoLine="0" r:id="rId5">
            <anchor moveWithCells="1">
              <from>
                <xdr:col>5</xdr:col>
                <xdr:colOff>180975</xdr:colOff>
                <xdr:row>20</xdr:row>
                <xdr:rowOff>9525</xdr:rowOff>
              </from>
              <to>
                <xdr:col>6</xdr:col>
                <xdr:colOff>352425</xdr:colOff>
                <xdr:row>24</xdr:row>
                <xdr:rowOff>104775</xdr:rowOff>
              </to>
            </anchor>
          </controlPr>
        </control>
      </mc:Choice>
      <mc:Fallback>
        <control shapeId="2050"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18"/>
  <sheetViews>
    <sheetView workbookViewId="0">
      <selection activeCell="I13" sqref="I13"/>
    </sheetView>
  </sheetViews>
  <sheetFormatPr defaultRowHeight="12.75" x14ac:dyDescent="0.2"/>
  <cols>
    <col min="1" max="1" width="33.7109375" bestFit="1" customWidth="1"/>
    <col min="2" max="2" width="12.140625" customWidth="1"/>
    <col min="3" max="3" width="11.140625" customWidth="1"/>
    <col min="4" max="4" width="14.7109375" customWidth="1"/>
    <col min="5" max="5" width="11.28515625" customWidth="1"/>
    <col min="6" max="6" width="13.85546875" customWidth="1"/>
  </cols>
  <sheetData>
    <row r="1" spans="1:6" ht="83.25" customHeight="1" x14ac:dyDescent="0.35">
      <c r="A1" s="20" t="s">
        <v>34</v>
      </c>
      <c r="B1" s="105" t="s">
        <v>697</v>
      </c>
      <c r="C1" s="106"/>
      <c r="D1" s="106"/>
      <c r="E1" s="106"/>
      <c r="F1" s="107"/>
    </row>
    <row r="2" spans="1:6" s="4" customFormat="1" ht="47.25" x14ac:dyDescent="0.25">
      <c r="A2" s="9" t="s">
        <v>0</v>
      </c>
      <c r="B2" s="9" t="s">
        <v>30</v>
      </c>
      <c r="C2" s="9" t="s">
        <v>31</v>
      </c>
      <c r="D2" s="9" t="s">
        <v>21</v>
      </c>
      <c r="E2" s="9" t="s">
        <v>32</v>
      </c>
      <c r="F2" s="9" t="s">
        <v>33</v>
      </c>
    </row>
    <row r="3" spans="1:6" ht="15.75" x14ac:dyDescent="0.25">
      <c r="A3" s="8" t="s">
        <v>35</v>
      </c>
      <c r="B3" s="10">
        <v>80</v>
      </c>
      <c r="C3" s="10">
        <v>105</v>
      </c>
      <c r="D3" s="67"/>
      <c r="E3" s="21">
        <v>39</v>
      </c>
      <c r="F3" s="88"/>
    </row>
    <row r="4" spans="1:6" ht="15.75" x14ac:dyDescent="0.25">
      <c r="A4" s="8" t="s">
        <v>36</v>
      </c>
      <c r="B4" s="10">
        <v>60</v>
      </c>
      <c r="C4" s="10">
        <v>75</v>
      </c>
      <c r="D4" s="67"/>
      <c r="E4" s="21">
        <v>47</v>
      </c>
      <c r="F4" s="88"/>
    </row>
    <row r="5" spans="1:6" ht="15.75" x14ac:dyDescent="0.25">
      <c r="A5" s="8" t="s">
        <v>37</v>
      </c>
      <c r="B5" s="10">
        <v>55</v>
      </c>
      <c r="C5" s="10">
        <v>70</v>
      </c>
      <c r="D5" s="67"/>
      <c r="E5" s="22">
        <v>63</v>
      </c>
      <c r="F5" s="88"/>
    </row>
    <row r="6" spans="1:6" ht="15.75" x14ac:dyDescent="0.25">
      <c r="A6" s="8" t="s">
        <v>38</v>
      </c>
      <c r="B6" s="10">
        <v>25</v>
      </c>
      <c r="C6" s="10">
        <v>35</v>
      </c>
      <c r="D6" s="67"/>
      <c r="E6" s="23">
        <v>38</v>
      </c>
      <c r="F6" s="88"/>
    </row>
    <row r="7" spans="1:6" ht="15.75" x14ac:dyDescent="0.25">
      <c r="A7" s="8" t="s">
        <v>39</v>
      </c>
      <c r="B7" s="10">
        <v>35</v>
      </c>
      <c r="C7" s="10">
        <v>48</v>
      </c>
      <c r="D7" s="67"/>
      <c r="E7" s="21">
        <v>46</v>
      </c>
      <c r="F7" s="88"/>
    </row>
    <row r="8" spans="1:6" ht="15.75" x14ac:dyDescent="0.25">
      <c r="A8" s="8" t="s">
        <v>40</v>
      </c>
      <c r="B8" s="10">
        <v>55</v>
      </c>
      <c r="C8" s="10">
        <v>72</v>
      </c>
      <c r="D8" s="67"/>
      <c r="E8" s="21">
        <v>18</v>
      </c>
      <c r="F8" s="88"/>
    </row>
    <row r="9" spans="1:6" ht="15.75" x14ac:dyDescent="0.25">
      <c r="A9" s="8" t="s">
        <v>41</v>
      </c>
      <c r="B9" s="10">
        <v>110</v>
      </c>
      <c r="C9" s="10">
        <v>155</v>
      </c>
      <c r="D9" s="67"/>
      <c r="E9" s="21">
        <v>18</v>
      </c>
      <c r="F9" s="88"/>
    </row>
    <row r="10" spans="1:6" ht="15.75" x14ac:dyDescent="0.25">
      <c r="A10" s="8" t="s">
        <v>42</v>
      </c>
      <c r="B10" s="10">
        <v>28</v>
      </c>
      <c r="C10" s="10">
        <v>40</v>
      </c>
      <c r="D10" s="67"/>
      <c r="E10" s="21">
        <v>108</v>
      </c>
      <c r="F10" s="88"/>
    </row>
    <row r="11" spans="1:6" ht="15.75" x14ac:dyDescent="0.25">
      <c r="A11" s="8" t="s">
        <v>43</v>
      </c>
      <c r="B11" s="10">
        <v>15</v>
      </c>
      <c r="C11" s="10">
        <v>25</v>
      </c>
      <c r="D11" s="67"/>
      <c r="E11" s="21">
        <v>41</v>
      </c>
      <c r="F11" s="88"/>
    </row>
    <row r="12" spans="1:6" ht="15.75" x14ac:dyDescent="0.25">
      <c r="A12" s="8" t="s">
        <v>44</v>
      </c>
      <c r="B12" s="10">
        <v>45</v>
      </c>
      <c r="C12" s="10">
        <v>60</v>
      </c>
      <c r="D12" s="67"/>
      <c r="E12" s="21">
        <v>19</v>
      </c>
      <c r="F12" s="88"/>
    </row>
    <row r="13" spans="1:6" ht="15.75" x14ac:dyDescent="0.25">
      <c r="A13" s="8" t="s">
        <v>45</v>
      </c>
      <c r="B13" s="10">
        <v>32</v>
      </c>
      <c r="C13" s="10">
        <v>45</v>
      </c>
      <c r="D13" s="67"/>
      <c r="E13" s="21">
        <v>32</v>
      </c>
      <c r="F13" s="88"/>
    </row>
    <row r="14" spans="1:6" ht="15.75" x14ac:dyDescent="0.25">
      <c r="A14" s="8" t="s">
        <v>46</v>
      </c>
      <c r="B14" s="10">
        <v>105</v>
      </c>
      <c r="C14" s="10">
        <v>125</v>
      </c>
      <c r="D14" s="67"/>
      <c r="E14" s="21">
        <v>38</v>
      </c>
      <c r="F14" s="88"/>
    </row>
    <row r="15" spans="1:6" ht="15.75" x14ac:dyDescent="0.25">
      <c r="A15" s="8" t="s">
        <v>47</v>
      </c>
      <c r="B15" s="10">
        <v>145</v>
      </c>
      <c r="C15" s="10">
        <v>175</v>
      </c>
      <c r="D15" s="67"/>
      <c r="E15" s="21">
        <v>49</v>
      </c>
      <c r="F15" s="88"/>
    </row>
    <row r="16" spans="1:6" ht="15.75" x14ac:dyDescent="0.25">
      <c r="A16" s="8" t="s">
        <v>48</v>
      </c>
      <c r="B16" s="10">
        <v>75</v>
      </c>
      <c r="C16" s="10">
        <v>95</v>
      </c>
      <c r="D16" s="67"/>
      <c r="E16" s="21">
        <v>53</v>
      </c>
      <c r="F16" s="88"/>
    </row>
    <row r="17" spans="1:6" ht="15.75" x14ac:dyDescent="0.25">
      <c r="A17" s="8" t="s">
        <v>49</v>
      </c>
      <c r="B17" s="10">
        <v>120</v>
      </c>
      <c r="C17" s="10">
        <v>145</v>
      </c>
      <c r="D17" s="67"/>
      <c r="E17" s="21">
        <v>76</v>
      </c>
      <c r="F17" s="88"/>
    </row>
    <row r="18" spans="1:6" ht="15.75" x14ac:dyDescent="0.25">
      <c r="A18" s="103" t="s">
        <v>50</v>
      </c>
      <c r="B18" s="104"/>
      <c r="C18" s="104"/>
      <c r="D18" s="104"/>
      <c r="E18" s="104"/>
      <c r="F18" s="89"/>
    </row>
  </sheetData>
  <mergeCells count="2">
    <mergeCell ref="A18:E18"/>
    <mergeCell ref="B1:F1"/>
  </mergeCells>
  <phoneticPr fontId="0" type="noConversion"/>
  <printOptions gridLines="1"/>
  <pageMargins left="0.75" right="0.75" top="1" bottom="1" header="0.5" footer="0.5"/>
  <pageSetup paperSize="9" orientation="landscape" r:id="rId1"/>
  <headerFooter alignWithMargins="0">
    <oddHeader>&amp;LName:&amp;RPontypandy Pine Warehouse</oddHeader>
    <oddFooter>&amp;RBand A- Exercise 4(L4)</oddFooter>
  </headerFooter>
  <drawing r:id="rId2"/>
  <legacyDrawing r:id="rId3"/>
  <controls>
    <mc:AlternateContent xmlns:mc="http://schemas.openxmlformats.org/markup-compatibility/2006">
      <mc:Choice Requires="x14">
        <control shapeId="14337" r:id="rId4" name="CommandButton1">
          <controlPr defaultSize="0" autoLine="0" autoPict="0" r:id="rId5">
            <anchor moveWithCells="1">
              <from>
                <xdr:col>6</xdr:col>
                <xdr:colOff>200025</xdr:colOff>
                <xdr:row>1</xdr:row>
                <xdr:rowOff>123825</xdr:rowOff>
              </from>
              <to>
                <xdr:col>8</xdr:col>
                <xdr:colOff>104775</xdr:colOff>
                <xdr:row>3</xdr:row>
                <xdr:rowOff>66675</xdr:rowOff>
              </to>
            </anchor>
          </controlPr>
        </control>
      </mc:Choice>
      <mc:Fallback>
        <control shapeId="14337" r:id="rId4"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17"/>
  <sheetViews>
    <sheetView zoomScale="150" zoomScaleNormal="150" workbookViewId="0">
      <selection activeCell="F3" sqref="F3"/>
    </sheetView>
  </sheetViews>
  <sheetFormatPr defaultRowHeight="12.75" x14ac:dyDescent="0.2"/>
  <cols>
    <col min="1" max="1" width="16.85546875" customWidth="1"/>
    <col min="2" max="2" width="15.28515625" customWidth="1"/>
    <col min="3" max="3" width="23.5703125" customWidth="1"/>
    <col min="4" max="4" width="11.28515625" customWidth="1"/>
    <col min="5" max="5" width="12.42578125" customWidth="1"/>
    <col min="6" max="6" width="12.85546875" customWidth="1"/>
  </cols>
  <sheetData>
    <row r="1" spans="1:6" ht="79.5" customHeight="1" x14ac:dyDescent="0.35">
      <c r="A1" s="108" t="s">
        <v>51</v>
      </c>
      <c r="B1" s="109"/>
      <c r="C1" s="7"/>
      <c r="D1" s="8"/>
      <c r="E1" s="8"/>
      <c r="F1" s="8"/>
    </row>
    <row r="2" spans="1:6" ht="64.5" x14ac:dyDescent="0.25">
      <c r="A2" s="9" t="s">
        <v>52</v>
      </c>
      <c r="B2" s="9" t="s">
        <v>53</v>
      </c>
      <c r="C2" s="9" t="s">
        <v>54</v>
      </c>
      <c r="D2" s="9" t="s">
        <v>55</v>
      </c>
      <c r="E2" s="9" t="s">
        <v>56</v>
      </c>
      <c r="F2" s="24" t="s">
        <v>85</v>
      </c>
    </row>
    <row r="3" spans="1:6" ht="15" x14ac:dyDescent="0.2">
      <c r="A3" s="8" t="s">
        <v>57</v>
      </c>
      <c r="B3" s="8" t="s">
        <v>58</v>
      </c>
      <c r="C3" s="19" t="s">
        <v>73</v>
      </c>
      <c r="D3" s="10">
        <v>12.5</v>
      </c>
      <c r="E3" s="25">
        <v>46</v>
      </c>
      <c r="F3" s="70"/>
    </row>
    <row r="4" spans="1:6" ht="15" x14ac:dyDescent="0.2">
      <c r="A4" s="8" t="s">
        <v>59</v>
      </c>
      <c r="B4" s="8" t="s">
        <v>60</v>
      </c>
      <c r="C4" s="19" t="s">
        <v>75</v>
      </c>
      <c r="D4" s="10">
        <v>7</v>
      </c>
      <c r="E4" s="25">
        <v>39</v>
      </c>
      <c r="F4" s="70"/>
    </row>
    <row r="5" spans="1:6" ht="15" x14ac:dyDescent="0.2">
      <c r="A5" s="8" t="s">
        <v>61</v>
      </c>
      <c r="B5" s="8" t="s">
        <v>62</v>
      </c>
      <c r="C5" s="19" t="s">
        <v>74</v>
      </c>
      <c r="D5" s="10">
        <v>9.5</v>
      </c>
      <c r="E5" s="25">
        <v>41</v>
      </c>
      <c r="F5" s="70"/>
    </row>
    <row r="6" spans="1:6" ht="15" x14ac:dyDescent="0.2">
      <c r="A6" s="8" t="s">
        <v>63</v>
      </c>
      <c r="B6" s="8" t="s">
        <v>64</v>
      </c>
      <c r="C6" s="19" t="s">
        <v>76</v>
      </c>
      <c r="D6" s="10">
        <v>7.5</v>
      </c>
      <c r="E6" s="25">
        <v>44</v>
      </c>
      <c r="F6" s="70"/>
    </row>
    <row r="7" spans="1:6" ht="15" x14ac:dyDescent="0.2">
      <c r="A7" s="8" t="s">
        <v>65</v>
      </c>
      <c r="B7" s="8" t="s">
        <v>66</v>
      </c>
      <c r="C7" s="19" t="s">
        <v>78</v>
      </c>
      <c r="D7" s="10">
        <v>7.2</v>
      </c>
      <c r="E7" s="25">
        <v>37</v>
      </c>
      <c r="F7" s="70"/>
    </row>
    <row r="8" spans="1:6" ht="15" x14ac:dyDescent="0.2">
      <c r="A8" s="8" t="s">
        <v>67</v>
      </c>
      <c r="B8" s="8" t="s">
        <v>68</v>
      </c>
      <c r="C8" s="19" t="s">
        <v>77</v>
      </c>
      <c r="D8" s="10">
        <v>4.9000000000000004</v>
      </c>
      <c r="E8" s="25">
        <v>44</v>
      </c>
      <c r="F8" s="70"/>
    </row>
    <row r="9" spans="1:6" ht="15" x14ac:dyDescent="0.2">
      <c r="A9" s="8" t="s">
        <v>69</v>
      </c>
      <c r="B9" s="8" t="s">
        <v>70</v>
      </c>
      <c r="C9" s="19" t="s">
        <v>75</v>
      </c>
      <c r="D9" s="10">
        <v>7</v>
      </c>
      <c r="E9" s="25">
        <v>20</v>
      </c>
      <c r="F9" s="70"/>
    </row>
    <row r="10" spans="1:6" ht="15" x14ac:dyDescent="0.2">
      <c r="A10" s="8" t="s">
        <v>71</v>
      </c>
      <c r="B10" s="8" t="s">
        <v>72</v>
      </c>
      <c r="C10" s="19" t="s">
        <v>75</v>
      </c>
      <c r="D10" s="10">
        <v>7</v>
      </c>
      <c r="E10" s="25">
        <v>20</v>
      </c>
      <c r="F10" s="70"/>
    </row>
    <row r="11" spans="1:6" ht="15" x14ac:dyDescent="0.2">
      <c r="A11" s="8" t="s">
        <v>80</v>
      </c>
      <c r="B11" s="8" t="s">
        <v>81</v>
      </c>
      <c r="C11" s="8" t="s">
        <v>79</v>
      </c>
      <c r="D11" s="10">
        <v>6.5</v>
      </c>
      <c r="E11" s="25">
        <v>45</v>
      </c>
      <c r="F11" s="70"/>
    </row>
    <row r="12" spans="1:6" ht="15" x14ac:dyDescent="0.2">
      <c r="A12" s="8" t="s">
        <v>82</v>
      </c>
      <c r="B12" s="8" t="s">
        <v>83</v>
      </c>
      <c r="C12" s="19" t="s">
        <v>84</v>
      </c>
      <c r="D12" s="10">
        <v>4.6500000000000004</v>
      </c>
      <c r="E12" s="25">
        <v>45</v>
      </c>
      <c r="F12" s="70"/>
    </row>
    <row r="13" spans="1:6" ht="15.75" x14ac:dyDescent="0.25">
      <c r="A13" s="102" t="s">
        <v>86</v>
      </c>
      <c r="B13" s="110"/>
      <c r="C13" s="110"/>
      <c r="D13" s="110"/>
      <c r="E13" s="110"/>
      <c r="F13" s="71"/>
    </row>
    <row r="14" spans="1:6" ht="15" x14ac:dyDescent="0.2">
      <c r="A14" s="1"/>
      <c r="B14" s="1"/>
      <c r="C14" s="5"/>
      <c r="D14" s="5"/>
      <c r="E14" s="5"/>
      <c r="F14" s="5"/>
    </row>
    <row r="15" spans="1:6" ht="15" x14ac:dyDescent="0.2">
      <c r="A15" s="1"/>
      <c r="B15" s="1"/>
      <c r="C15" s="5"/>
      <c r="D15" s="5"/>
      <c r="E15" s="5"/>
      <c r="F15" s="5"/>
    </row>
    <row r="16" spans="1:6" ht="15" x14ac:dyDescent="0.2">
      <c r="A16" s="1"/>
      <c r="B16" s="1"/>
      <c r="C16" s="5"/>
      <c r="D16" s="5"/>
      <c r="E16" s="5"/>
      <c r="F16" s="5"/>
    </row>
    <row r="17" spans="1:6" ht="15.75" x14ac:dyDescent="0.25">
      <c r="A17" s="1"/>
      <c r="B17" s="1"/>
      <c r="C17" s="5"/>
      <c r="D17" s="6"/>
      <c r="E17" s="5"/>
      <c r="F17" s="5"/>
    </row>
  </sheetData>
  <mergeCells count="2">
    <mergeCell ref="A1:B1"/>
    <mergeCell ref="A13:E13"/>
  </mergeCells>
  <phoneticPr fontId="0" type="noConversion"/>
  <pageMargins left="0.75" right="0.75" top="1" bottom="1" header="0.5" footer="0.5"/>
  <pageSetup paperSize="9" orientation="landscape" r:id="rId1"/>
  <headerFooter alignWithMargins="0">
    <oddHeader>&amp;LName:&amp;RPine Warehouse Wages Sheet</oddHeader>
    <oddFooter>&amp;RBand A- Exercise 5(L3)</oddFooter>
  </headerFooter>
  <drawing r:id="rId2"/>
  <legacyDrawing r:id="rId3"/>
  <controls>
    <mc:AlternateContent xmlns:mc="http://schemas.openxmlformats.org/markup-compatibility/2006">
      <mc:Choice Requires="x14">
        <control shapeId="9218" r:id="rId4" name="CommandButton1">
          <controlPr defaultSize="0" autoLine="0" autoPict="0" r:id="rId5">
            <anchor moveWithCells="1">
              <from>
                <xdr:col>6</xdr:col>
                <xdr:colOff>228600</xdr:colOff>
                <xdr:row>1</xdr:row>
                <xdr:rowOff>66675</xdr:rowOff>
              </from>
              <to>
                <xdr:col>8</xdr:col>
                <xdr:colOff>133350</xdr:colOff>
                <xdr:row>1</xdr:row>
                <xdr:rowOff>809625</xdr:rowOff>
              </to>
            </anchor>
          </controlPr>
        </control>
      </mc:Choice>
      <mc:Fallback>
        <control shapeId="9218" r:id="rId4"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J14"/>
  <sheetViews>
    <sheetView workbookViewId="0">
      <selection activeCell="E38" sqref="E38"/>
    </sheetView>
  </sheetViews>
  <sheetFormatPr defaultRowHeight="12.75" x14ac:dyDescent="0.2"/>
  <cols>
    <col min="1" max="1" width="13.42578125" customWidth="1"/>
    <col min="2" max="2" width="12.7109375" customWidth="1"/>
    <col min="3" max="3" width="24.7109375" customWidth="1"/>
    <col min="4" max="4" width="9.85546875" customWidth="1"/>
    <col min="6" max="6" width="14.28515625" customWidth="1"/>
    <col min="7" max="7" width="9.5703125" customWidth="1"/>
    <col min="8" max="8" width="10" customWidth="1"/>
    <col min="9" max="9" width="12.7109375" customWidth="1"/>
    <col min="10" max="10" width="13.28515625" customWidth="1"/>
  </cols>
  <sheetData>
    <row r="1" spans="1:10" ht="96" customHeight="1" x14ac:dyDescent="0.35">
      <c r="A1" s="111" t="s">
        <v>51</v>
      </c>
      <c r="B1" s="112"/>
      <c r="C1" s="113"/>
      <c r="D1" s="120"/>
      <c r="E1" s="121"/>
      <c r="F1" s="121"/>
      <c r="G1" s="121"/>
      <c r="H1" s="121"/>
      <c r="I1" s="121"/>
      <c r="J1" s="113"/>
    </row>
    <row r="2" spans="1:10" ht="17.25" customHeight="1" x14ac:dyDescent="0.35">
      <c r="A2" s="27"/>
      <c r="B2" s="28"/>
      <c r="C2" s="29"/>
      <c r="D2" s="8"/>
      <c r="E2" s="8"/>
      <c r="F2" s="8"/>
      <c r="G2" s="117" t="s">
        <v>91</v>
      </c>
      <c r="H2" s="118"/>
      <c r="I2" s="119"/>
      <c r="J2" s="11"/>
    </row>
    <row r="3" spans="1:10" ht="63" x14ac:dyDescent="0.25">
      <c r="A3" s="9" t="s">
        <v>52</v>
      </c>
      <c r="B3" s="9" t="s">
        <v>53</v>
      </c>
      <c r="C3" s="9" t="s">
        <v>54</v>
      </c>
      <c r="D3" s="9" t="s">
        <v>55</v>
      </c>
      <c r="E3" s="9" t="s">
        <v>56</v>
      </c>
      <c r="F3" s="24" t="s">
        <v>85</v>
      </c>
      <c r="G3" s="30" t="s">
        <v>92</v>
      </c>
      <c r="H3" s="30" t="s">
        <v>87</v>
      </c>
      <c r="I3" s="30" t="s">
        <v>89</v>
      </c>
      <c r="J3" s="30" t="s">
        <v>88</v>
      </c>
    </row>
    <row r="4" spans="1:10" ht="15" x14ac:dyDescent="0.2">
      <c r="A4" s="8" t="s">
        <v>57</v>
      </c>
      <c r="B4" s="8" t="s">
        <v>58</v>
      </c>
      <c r="C4" s="19" t="s">
        <v>73</v>
      </c>
      <c r="D4" s="10">
        <v>12.5</v>
      </c>
      <c r="E4" s="25">
        <v>46</v>
      </c>
      <c r="F4" s="19">
        <f>D4*E4</f>
        <v>575</v>
      </c>
      <c r="G4" s="72"/>
      <c r="H4" s="72"/>
      <c r="I4" s="72"/>
      <c r="J4" s="73"/>
    </row>
    <row r="5" spans="1:10" ht="15" x14ac:dyDescent="0.2">
      <c r="A5" s="8" t="s">
        <v>59</v>
      </c>
      <c r="B5" s="8" t="s">
        <v>60</v>
      </c>
      <c r="C5" s="19" t="s">
        <v>75</v>
      </c>
      <c r="D5" s="10">
        <v>7</v>
      </c>
      <c r="E5" s="25">
        <v>39</v>
      </c>
      <c r="F5" s="19">
        <f>E5*D5</f>
        <v>273</v>
      </c>
      <c r="G5" s="72"/>
      <c r="H5" s="72"/>
      <c r="I5" s="72"/>
      <c r="J5" s="73"/>
    </row>
    <row r="6" spans="1:10" ht="15" x14ac:dyDescent="0.2">
      <c r="A6" s="8" t="s">
        <v>61</v>
      </c>
      <c r="B6" s="8" t="s">
        <v>62</v>
      </c>
      <c r="C6" s="19" t="s">
        <v>74</v>
      </c>
      <c r="D6" s="10">
        <v>9.5</v>
      </c>
      <c r="E6" s="25">
        <v>41</v>
      </c>
      <c r="F6" s="19">
        <f t="shared" ref="F6:F13" si="0">E6*D6</f>
        <v>389.5</v>
      </c>
      <c r="G6" s="72"/>
      <c r="H6" s="72"/>
      <c r="I6" s="72"/>
      <c r="J6" s="73"/>
    </row>
    <row r="7" spans="1:10" ht="15" x14ac:dyDescent="0.2">
      <c r="A7" s="8" t="s">
        <v>63</v>
      </c>
      <c r="B7" s="8" t="s">
        <v>64</v>
      </c>
      <c r="C7" s="19" t="s">
        <v>76</v>
      </c>
      <c r="D7" s="10">
        <v>7.5</v>
      </c>
      <c r="E7" s="25">
        <v>44</v>
      </c>
      <c r="F7" s="19">
        <f t="shared" si="0"/>
        <v>330</v>
      </c>
      <c r="G7" s="72"/>
      <c r="H7" s="72"/>
      <c r="I7" s="72"/>
      <c r="J7" s="73"/>
    </row>
    <row r="8" spans="1:10" ht="15" x14ac:dyDescent="0.2">
      <c r="A8" s="8" t="s">
        <v>65</v>
      </c>
      <c r="B8" s="8" t="s">
        <v>66</v>
      </c>
      <c r="C8" s="19" t="s">
        <v>78</v>
      </c>
      <c r="D8" s="10">
        <v>7.2</v>
      </c>
      <c r="E8" s="25">
        <v>37</v>
      </c>
      <c r="F8" s="19">
        <f t="shared" si="0"/>
        <v>266.40000000000003</v>
      </c>
      <c r="G8" s="72"/>
      <c r="H8" s="72"/>
      <c r="I8" s="72"/>
      <c r="J8" s="73"/>
    </row>
    <row r="9" spans="1:10" ht="15" x14ac:dyDescent="0.2">
      <c r="A9" s="8" t="s">
        <v>67</v>
      </c>
      <c r="B9" s="8" t="s">
        <v>68</v>
      </c>
      <c r="C9" s="19" t="s">
        <v>77</v>
      </c>
      <c r="D9" s="10">
        <v>4.9000000000000004</v>
      </c>
      <c r="E9" s="25">
        <v>44</v>
      </c>
      <c r="F9" s="19">
        <f t="shared" si="0"/>
        <v>215.60000000000002</v>
      </c>
      <c r="G9" s="72"/>
      <c r="H9" s="72"/>
      <c r="I9" s="72"/>
      <c r="J9" s="73"/>
    </row>
    <row r="10" spans="1:10" ht="15" x14ac:dyDescent="0.2">
      <c r="A10" s="8" t="s">
        <v>69</v>
      </c>
      <c r="B10" s="8" t="s">
        <v>70</v>
      </c>
      <c r="C10" s="19" t="s">
        <v>75</v>
      </c>
      <c r="D10" s="10">
        <v>7</v>
      </c>
      <c r="E10" s="25">
        <v>20</v>
      </c>
      <c r="F10" s="19">
        <f t="shared" si="0"/>
        <v>140</v>
      </c>
      <c r="G10" s="72"/>
      <c r="H10" s="72"/>
      <c r="I10" s="72"/>
      <c r="J10" s="73"/>
    </row>
    <row r="11" spans="1:10" ht="15" x14ac:dyDescent="0.2">
      <c r="A11" s="8" t="s">
        <v>71</v>
      </c>
      <c r="B11" s="8" t="s">
        <v>72</v>
      </c>
      <c r="C11" s="19" t="s">
        <v>75</v>
      </c>
      <c r="D11" s="10">
        <v>7</v>
      </c>
      <c r="E11" s="25">
        <v>20</v>
      </c>
      <c r="F11" s="19">
        <f t="shared" si="0"/>
        <v>140</v>
      </c>
      <c r="G11" s="72"/>
      <c r="H11" s="72"/>
      <c r="I11" s="72"/>
      <c r="J11" s="73"/>
    </row>
    <row r="12" spans="1:10" ht="15" x14ac:dyDescent="0.2">
      <c r="A12" s="8" t="s">
        <v>80</v>
      </c>
      <c r="B12" s="8" t="s">
        <v>81</v>
      </c>
      <c r="C12" s="8" t="s">
        <v>79</v>
      </c>
      <c r="D12" s="10">
        <v>6.5</v>
      </c>
      <c r="E12" s="25">
        <v>45</v>
      </c>
      <c r="F12" s="19">
        <f t="shared" si="0"/>
        <v>292.5</v>
      </c>
      <c r="G12" s="72"/>
      <c r="H12" s="72"/>
      <c r="I12" s="72"/>
      <c r="J12" s="73"/>
    </row>
    <row r="13" spans="1:10" ht="15" x14ac:dyDescent="0.2">
      <c r="A13" s="8" t="s">
        <v>82</v>
      </c>
      <c r="B13" s="8" t="s">
        <v>83</v>
      </c>
      <c r="C13" s="19" t="s">
        <v>84</v>
      </c>
      <c r="D13" s="10">
        <v>4.6500000000000004</v>
      </c>
      <c r="E13" s="25">
        <v>45</v>
      </c>
      <c r="F13" s="19">
        <f t="shared" si="0"/>
        <v>209.25000000000003</v>
      </c>
      <c r="G13" s="72"/>
      <c r="H13" s="72"/>
      <c r="I13" s="72"/>
      <c r="J13" s="73"/>
    </row>
    <row r="14" spans="1:10" ht="15.75" x14ac:dyDescent="0.25">
      <c r="A14" s="102" t="s">
        <v>86</v>
      </c>
      <c r="B14" s="110"/>
      <c r="C14" s="110"/>
      <c r="D14" s="110"/>
      <c r="E14" s="110"/>
      <c r="F14" s="71"/>
      <c r="G14" s="114" t="s">
        <v>90</v>
      </c>
      <c r="H14" s="115"/>
      <c r="I14" s="116"/>
      <c r="J14" s="74"/>
    </row>
  </sheetData>
  <mergeCells count="5">
    <mergeCell ref="A14:E14"/>
    <mergeCell ref="A1:C1"/>
    <mergeCell ref="G14:I14"/>
    <mergeCell ref="G2:I2"/>
    <mergeCell ref="D1:J1"/>
  </mergeCells>
  <phoneticPr fontId="0" type="noConversion"/>
  <pageMargins left="0.75" right="0.75" top="1" bottom="1" header="0.5" footer="0.5"/>
  <pageSetup paperSize="9" orientation="landscape" r:id="rId1"/>
  <headerFooter alignWithMargins="0">
    <oddFooter>&amp;RBand A- Exercise 6(L5)</oddFooter>
  </headerFooter>
  <drawing r:id="rId2"/>
  <legacyDrawing r:id="rId3"/>
  <controls>
    <mc:AlternateContent xmlns:mc="http://schemas.openxmlformats.org/markup-compatibility/2006">
      <mc:Choice Requires="x14">
        <control shapeId="3074" r:id="rId4" name="CommandButton1">
          <controlPr defaultSize="0" autoLine="0" r:id="rId5">
            <anchor moveWithCells="1">
              <from>
                <xdr:col>10</xdr:col>
                <xdr:colOff>180975</xdr:colOff>
                <xdr:row>0</xdr:row>
                <xdr:rowOff>742950</xdr:rowOff>
              </from>
              <to>
                <xdr:col>12</xdr:col>
                <xdr:colOff>85725</xdr:colOff>
                <xdr:row>2</xdr:row>
                <xdr:rowOff>47625</xdr:rowOff>
              </to>
            </anchor>
          </controlPr>
        </control>
      </mc:Choice>
      <mc:Fallback>
        <control shapeId="3074" r:id="rId4"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K19"/>
  <sheetViews>
    <sheetView tabSelected="1" workbookViewId="0">
      <selection activeCell="M24" sqref="M24"/>
    </sheetView>
  </sheetViews>
  <sheetFormatPr defaultRowHeight="12.75" x14ac:dyDescent="0.2"/>
  <cols>
    <col min="1" max="2" width="11.7109375" customWidth="1"/>
    <col min="3" max="3" width="5.140625" customWidth="1"/>
    <col min="4" max="4" width="6.42578125" customWidth="1"/>
    <col min="7" max="7" width="6.28515625" customWidth="1"/>
    <col min="8" max="8" width="6" customWidth="1"/>
    <col min="9" max="9" width="5.85546875" customWidth="1"/>
    <col min="10" max="10" width="6.85546875" customWidth="1"/>
    <col min="11" max="11" width="11.42578125" customWidth="1"/>
  </cols>
  <sheetData>
    <row r="1" spans="1:11" ht="39" customHeight="1" x14ac:dyDescent="0.3">
      <c r="A1" s="122" t="s">
        <v>124</v>
      </c>
      <c r="B1" s="123"/>
      <c r="C1" s="112"/>
      <c r="D1" s="124"/>
      <c r="E1" s="32"/>
      <c r="F1" s="32"/>
      <c r="G1" s="32"/>
    </row>
    <row r="2" spans="1:11" s="4" customFormat="1" ht="60.75" customHeight="1" x14ac:dyDescent="0.2">
      <c r="A2" s="33" t="s">
        <v>52</v>
      </c>
      <c r="B2" s="33" t="s">
        <v>53</v>
      </c>
      <c r="C2" s="35" t="s">
        <v>125</v>
      </c>
      <c r="D2" s="35" t="s">
        <v>113</v>
      </c>
      <c r="E2" s="35" t="s">
        <v>114</v>
      </c>
      <c r="F2" s="35" t="s">
        <v>115</v>
      </c>
      <c r="G2" s="35" t="s">
        <v>116</v>
      </c>
      <c r="H2" s="35" t="s">
        <v>117</v>
      </c>
      <c r="I2" s="35" t="s">
        <v>118</v>
      </c>
      <c r="J2" s="35" t="s">
        <v>119</v>
      </c>
      <c r="K2" s="33" t="s">
        <v>120</v>
      </c>
    </row>
    <row r="3" spans="1:11" x14ac:dyDescent="0.2">
      <c r="A3" s="34" t="s">
        <v>129</v>
      </c>
      <c r="B3" s="34" t="s">
        <v>93</v>
      </c>
      <c r="C3" s="36" t="s">
        <v>127</v>
      </c>
      <c r="D3" s="36">
        <v>45</v>
      </c>
      <c r="E3" s="37">
        <v>49</v>
      </c>
      <c r="F3" s="37">
        <v>52</v>
      </c>
      <c r="G3" s="37">
        <v>60</v>
      </c>
      <c r="H3" s="37">
        <v>65</v>
      </c>
      <c r="I3" s="37">
        <v>46</v>
      </c>
      <c r="J3" s="37">
        <v>48</v>
      </c>
      <c r="K3" s="75"/>
    </row>
    <row r="4" spans="1:11" x14ac:dyDescent="0.2">
      <c r="A4" s="31" t="s">
        <v>94</v>
      </c>
      <c r="B4" s="31" t="s">
        <v>95</v>
      </c>
      <c r="C4" s="36" t="s">
        <v>126</v>
      </c>
      <c r="D4" s="36">
        <v>83</v>
      </c>
      <c r="E4" s="37">
        <v>85</v>
      </c>
      <c r="F4" s="37">
        <v>86</v>
      </c>
      <c r="G4" s="37">
        <v>88</v>
      </c>
      <c r="H4" s="37">
        <v>89</v>
      </c>
      <c r="I4" s="37">
        <v>79</v>
      </c>
      <c r="J4" s="37">
        <v>75</v>
      </c>
      <c r="K4" s="75"/>
    </row>
    <row r="5" spans="1:11" x14ac:dyDescent="0.2">
      <c r="A5" s="31" t="s">
        <v>96</v>
      </c>
      <c r="B5" s="31" t="s">
        <v>97</v>
      </c>
      <c r="C5" s="36" t="s">
        <v>127</v>
      </c>
      <c r="D5" s="38">
        <v>85</v>
      </c>
      <c r="E5" s="37">
        <v>90</v>
      </c>
      <c r="F5" s="37">
        <v>80</v>
      </c>
      <c r="G5" s="37">
        <v>76</v>
      </c>
      <c r="H5" s="37">
        <v>88</v>
      </c>
      <c r="I5" s="37">
        <v>75</v>
      </c>
      <c r="J5" s="37">
        <v>73</v>
      </c>
      <c r="K5" s="75"/>
    </row>
    <row r="6" spans="1:11" x14ac:dyDescent="0.2">
      <c r="A6" s="31" t="s">
        <v>71</v>
      </c>
      <c r="B6" s="31" t="s">
        <v>66</v>
      </c>
      <c r="C6" s="36" t="s">
        <v>126</v>
      </c>
      <c r="D6" s="38">
        <v>43</v>
      </c>
      <c r="E6" s="37">
        <v>39</v>
      </c>
      <c r="F6" s="37">
        <v>48</v>
      </c>
      <c r="G6" s="37">
        <v>57</v>
      </c>
      <c r="H6" s="37">
        <v>43</v>
      </c>
      <c r="I6" s="37">
        <v>44</v>
      </c>
      <c r="J6" s="37">
        <v>38</v>
      </c>
      <c r="K6" s="75"/>
    </row>
    <row r="7" spans="1:11" x14ac:dyDescent="0.2">
      <c r="A7" s="34" t="s">
        <v>98</v>
      </c>
      <c r="B7" s="34" t="s">
        <v>99</v>
      </c>
      <c r="C7" s="36" t="s">
        <v>127</v>
      </c>
      <c r="D7" s="36">
        <v>54</v>
      </c>
      <c r="E7" s="37">
        <v>73</v>
      </c>
      <c r="F7" s="37">
        <v>55</v>
      </c>
      <c r="G7" s="37">
        <v>65</v>
      </c>
      <c r="H7" s="37">
        <v>72</v>
      </c>
      <c r="I7" s="37">
        <v>67</v>
      </c>
      <c r="J7" s="37">
        <v>63</v>
      </c>
      <c r="K7" s="75"/>
    </row>
    <row r="8" spans="1:11" x14ac:dyDescent="0.2">
      <c r="A8" s="31" t="s">
        <v>100</v>
      </c>
      <c r="B8" s="31" t="s">
        <v>101</v>
      </c>
      <c r="C8" s="36" t="s">
        <v>126</v>
      </c>
      <c r="D8" s="36">
        <v>63</v>
      </c>
      <c r="E8" s="37">
        <v>58</v>
      </c>
      <c r="F8" s="37">
        <v>68</v>
      </c>
      <c r="G8" s="37">
        <v>73</v>
      </c>
      <c r="H8" s="37">
        <v>75</v>
      </c>
      <c r="I8" s="37">
        <v>69</v>
      </c>
      <c r="J8" s="37">
        <v>59</v>
      </c>
      <c r="K8" s="75"/>
    </row>
    <row r="9" spans="1:11" x14ac:dyDescent="0.2">
      <c r="A9" s="31" t="s">
        <v>128</v>
      </c>
      <c r="B9" s="31" t="s">
        <v>102</v>
      </c>
      <c r="C9" s="36" t="s">
        <v>127</v>
      </c>
      <c r="D9" s="38">
        <v>70</v>
      </c>
      <c r="E9" s="37">
        <v>53</v>
      </c>
      <c r="F9" s="37">
        <v>65</v>
      </c>
      <c r="G9" s="37">
        <v>52</v>
      </c>
      <c r="H9" s="37">
        <v>56</v>
      </c>
      <c r="I9" s="37">
        <v>51</v>
      </c>
      <c r="J9" s="37">
        <v>52</v>
      </c>
      <c r="K9" s="75"/>
    </row>
    <row r="10" spans="1:11" x14ac:dyDescent="0.2">
      <c r="A10" s="31" t="s">
        <v>103</v>
      </c>
      <c r="B10" s="31" t="s">
        <v>104</v>
      </c>
      <c r="C10" s="36" t="s">
        <v>126</v>
      </c>
      <c r="D10" s="36">
        <v>89</v>
      </c>
      <c r="E10" s="37">
        <v>62</v>
      </c>
      <c r="F10" s="39">
        <v>87</v>
      </c>
      <c r="G10" s="39">
        <v>65</v>
      </c>
      <c r="H10" s="37">
        <v>67</v>
      </c>
      <c r="I10" s="37">
        <v>48</v>
      </c>
      <c r="J10" s="37">
        <v>54</v>
      </c>
      <c r="K10" s="75"/>
    </row>
    <row r="11" spans="1:11" x14ac:dyDescent="0.2">
      <c r="A11" s="31" t="s">
        <v>105</v>
      </c>
      <c r="B11" s="31" t="s">
        <v>106</v>
      </c>
      <c r="C11" s="36" t="s">
        <v>126</v>
      </c>
      <c r="D11" s="36">
        <v>58</v>
      </c>
      <c r="E11" s="37">
        <v>53</v>
      </c>
      <c r="F11" s="39">
        <v>64</v>
      </c>
      <c r="G11" s="39">
        <v>75</v>
      </c>
      <c r="H11" s="37">
        <v>72</v>
      </c>
      <c r="I11" s="37">
        <v>83</v>
      </c>
      <c r="J11" s="37">
        <v>52</v>
      </c>
      <c r="K11" s="75"/>
    </row>
    <row r="12" spans="1:11" x14ac:dyDescent="0.2">
      <c r="A12" s="31" t="s">
        <v>107</v>
      </c>
      <c r="B12" s="31" t="s">
        <v>108</v>
      </c>
      <c r="C12" s="36" t="s">
        <v>126</v>
      </c>
      <c r="D12" s="38">
        <v>49</v>
      </c>
      <c r="E12" s="37">
        <v>53</v>
      </c>
      <c r="F12" s="37">
        <v>65</v>
      </c>
      <c r="G12" s="37">
        <v>64</v>
      </c>
      <c r="H12" s="37">
        <v>71</v>
      </c>
      <c r="I12" s="37">
        <v>67</v>
      </c>
      <c r="J12" s="37">
        <v>65</v>
      </c>
      <c r="K12" s="75"/>
    </row>
    <row r="13" spans="1:11" x14ac:dyDescent="0.2">
      <c r="A13" s="31" t="s">
        <v>109</v>
      </c>
      <c r="B13" s="31" t="s">
        <v>110</v>
      </c>
      <c r="C13" s="36" t="s">
        <v>127</v>
      </c>
      <c r="D13" s="38">
        <v>39</v>
      </c>
      <c r="E13" s="37">
        <v>48</v>
      </c>
      <c r="F13" s="37">
        <v>41</v>
      </c>
      <c r="G13" s="37">
        <v>49</v>
      </c>
      <c r="H13" s="37">
        <v>54</v>
      </c>
      <c r="I13" s="37">
        <v>38</v>
      </c>
      <c r="J13" s="37">
        <v>37</v>
      </c>
      <c r="K13" s="75"/>
    </row>
    <row r="14" spans="1:11" x14ac:dyDescent="0.2">
      <c r="A14" s="31" t="s">
        <v>111</v>
      </c>
      <c r="B14" s="31" t="s">
        <v>110</v>
      </c>
      <c r="C14" s="36" t="s">
        <v>126</v>
      </c>
      <c r="D14" s="38">
        <v>41</v>
      </c>
      <c r="E14" s="37">
        <v>32</v>
      </c>
      <c r="F14" s="37">
        <v>37</v>
      </c>
      <c r="G14" s="37">
        <v>43</v>
      </c>
      <c r="H14" s="37">
        <v>45</v>
      </c>
      <c r="I14" s="37">
        <v>38</v>
      </c>
      <c r="J14" s="37">
        <v>32</v>
      </c>
      <c r="K14" s="75"/>
    </row>
    <row r="15" spans="1:11" x14ac:dyDescent="0.2">
      <c r="A15" s="31" t="s">
        <v>94</v>
      </c>
      <c r="B15" s="31" t="s">
        <v>112</v>
      </c>
      <c r="C15" s="36" t="s">
        <v>126</v>
      </c>
      <c r="D15" s="38">
        <v>94</v>
      </c>
      <c r="E15" s="37">
        <v>83</v>
      </c>
      <c r="F15" s="37">
        <v>90</v>
      </c>
      <c r="G15" s="37">
        <v>88</v>
      </c>
      <c r="H15" s="37">
        <v>89</v>
      </c>
      <c r="I15" s="37">
        <v>84</v>
      </c>
      <c r="J15" s="37">
        <v>82</v>
      </c>
      <c r="K15" s="75"/>
    </row>
    <row r="16" spans="1:11" x14ac:dyDescent="0.2">
      <c r="A16" s="110" t="s">
        <v>120</v>
      </c>
      <c r="B16" s="110"/>
      <c r="C16" s="110"/>
      <c r="D16" s="76"/>
      <c r="E16" s="76"/>
      <c r="F16" s="76"/>
      <c r="G16" s="76"/>
      <c r="H16" s="76"/>
      <c r="I16" s="76"/>
      <c r="J16" s="76"/>
      <c r="K16" s="76"/>
    </row>
    <row r="17" spans="1:11" x14ac:dyDescent="0.2">
      <c r="A17" s="110" t="s">
        <v>121</v>
      </c>
      <c r="B17" s="110"/>
      <c r="C17" s="110"/>
      <c r="D17" s="77"/>
      <c r="E17" s="77"/>
      <c r="F17" s="77"/>
      <c r="G17" s="77"/>
      <c r="H17" s="77"/>
      <c r="I17" s="77"/>
      <c r="J17" s="77"/>
      <c r="K17" s="77"/>
    </row>
    <row r="18" spans="1:11" x14ac:dyDescent="0.2">
      <c r="A18" s="110" t="s">
        <v>122</v>
      </c>
      <c r="B18" s="110"/>
      <c r="C18" s="110"/>
      <c r="D18" s="78"/>
      <c r="E18" s="78"/>
      <c r="F18" s="78"/>
      <c r="G18" s="78"/>
      <c r="H18" s="78"/>
      <c r="I18" s="78"/>
      <c r="J18" s="78"/>
      <c r="K18" s="78"/>
    </row>
    <row r="19" spans="1:11" x14ac:dyDescent="0.2">
      <c r="A19" s="110" t="s">
        <v>123</v>
      </c>
      <c r="B19" s="110"/>
      <c r="C19" s="110"/>
      <c r="D19" s="79"/>
      <c r="E19" s="79"/>
      <c r="F19" s="79"/>
      <c r="G19" s="79"/>
      <c r="H19" s="79"/>
      <c r="I19" s="79"/>
      <c r="J19" s="79"/>
      <c r="K19" s="79"/>
    </row>
  </sheetData>
  <mergeCells count="5">
    <mergeCell ref="A18:C18"/>
    <mergeCell ref="A19:C19"/>
    <mergeCell ref="A1:D1"/>
    <mergeCell ref="A17:C17"/>
    <mergeCell ref="A16:C16"/>
  </mergeCells>
  <phoneticPr fontId="0" type="noConversion"/>
  <printOptions gridLines="1"/>
  <pageMargins left="0.75" right="0.75" top="1" bottom="1" header="0.5" footer="0.5"/>
  <pageSetup paperSize="9" orientation="landscape" r:id="rId1"/>
  <headerFooter alignWithMargins="0">
    <oddFooter>&amp;RBand A- Exercise 10(L5)</oddFooter>
  </headerFooter>
  <drawing r:id="rId2"/>
  <legacyDrawing r:id="rId3"/>
  <controls>
    <mc:AlternateContent xmlns:mc="http://schemas.openxmlformats.org/markup-compatibility/2006">
      <mc:Choice Requires="x14">
        <control shapeId="7172" r:id="rId4" name="CommandButton1">
          <controlPr defaultSize="0" autoLine="0" autoPict="0" r:id="rId5">
            <anchor moveWithCells="1">
              <from>
                <xdr:col>9</xdr:col>
                <xdr:colOff>152400</xdr:colOff>
                <xdr:row>23</xdr:row>
                <xdr:rowOff>0</xdr:rowOff>
              </from>
              <to>
                <xdr:col>11</xdr:col>
                <xdr:colOff>57150</xdr:colOff>
                <xdr:row>27</xdr:row>
                <xdr:rowOff>95250</xdr:rowOff>
              </to>
            </anchor>
          </controlPr>
        </control>
      </mc:Choice>
      <mc:Fallback>
        <control shapeId="7172"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D12"/>
  <sheetViews>
    <sheetView workbookViewId="0">
      <selection activeCell="D12" activeCellId="3" sqref="B10 B12 D10 D12"/>
    </sheetView>
  </sheetViews>
  <sheetFormatPr defaultRowHeight="12.75" x14ac:dyDescent="0.2"/>
  <cols>
    <col min="1" max="1" width="21.140625" customWidth="1"/>
    <col min="2" max="2" width="20.42578125" customWidth="1"/>
    <col min="3" max="3" width="20.7109375" customWidth="1"/>
    <col min="4" max="4" width="20.28515625" customWidth="1"/>
  </cols>
  <sheetData>
    <row r="1" spans="1:4" ht="96.75" customHeight="1" x14ac:dyDescent="0.3">
      <c r="A1" s="125" t="s">
        <v>130</v>
      </c>
      <c r="B1" s="126"/>
    </row>
    <row r="2" spans="1:4" s="4" customFormat="1" ht="37.5" customHeight="1" x14ac:dyDescent="0.2">
      <c r="A2" s="127" t="s">
        <v>131</v>
      </c>
      <c r="B2" s="128"/>
      <c r="C2" s="129" t="s">
        <v>132</v>
      </c>
      <c r="D2" s="130"/>
    </row>
    <row r="3" spans="1:4" ht="15.75" x14ac:dyDescent="0.25">
      <c r="A3" s="7" t="s">
        <v>133</v>
      </c>
      <c r="B3" s="7" t="s">
        <v>134</v>
      </c>
      <c r="C3" s="7" t="s">
        <v>133</v>
      </c>
      <c r="D3" s="7" t="s">
        <v>134</v>
      </c>
    </row>
    <row r="4" spans="1:4" ht="15" x14ac:dyDescent="0.2">
      <c r="A4" s="8" t="s">
        <v>135</v>
      </c>
      <c r="B4" s="8">
        <v>41900</v>
      </c>
      <c r="C4" s="8" t="s">
        <v>136</v>
      </c>
      <c r="D4" s="8">
        <v>57900</v>
      </c>
    </row>
    <row r="5" spans="1:4" ht="15" x14ac:dyDescent="0.2">
      <c r="A5" s="8" t="s">
        <v>137</v>
      </c>
      <c r="B5" s="8">
        <v>12200</v>
      </c>
      <c r="C5" s="8"/>
      <c r="D5" s="8"/>
    </row>
    <row r="6" spans="1:4" ht="15" x14ac:dyDescent="0.2">
      <c r="A6" s="8" t="s">
        <v>138</v>
      </c>
      <c r="B6" s="8">
        <v>600</v>
      </c>
      <c r="C6" s="8"/>
      <c r="D6" s="8"/>
    </row>
    <row r="7" spans="1:4" ht="15" x14ac:dyDescent="0.2">
      <c r="A7" s="8" t="s">
        <v>139</v>
      </c>
      <c r="B7" s="8">
        <v>200</v>
      </c>
      <c r="C7" s="8"/>
      <c r="D7" s="8"/>
    </row>
    <row r="8" spans="1:4" ht="15" x14ac:dyDescent="0.2">
      <c r="A8" s="8" t="s">
        <v>140</v>
      </c>
      <c r="B8" s="8">
        <v>120</v>
      </c>
      <c r="C8" s="8"/>
      <c r="D8" s="8"/>
    </row>
    <row r="9" spans="1:4" x14ac:dyDescent="0.2">
      <c r="A9" s="11"/>
      <c r="B9" s="11"/>
      <c r="C9" s="11"/>
      <c r="D9" s="11"/>
    </row>
    <row r="10" spans="1:4" s="4" customFormat="1" ht="31.5" x14ac:dyDescent="0.25">
      <c r="A10" s="9" t="s">
        <v>141</v>
      </c>
      <c r="B10" s="80"/>
      <c r="C10" s="9" t="s">
        <v>142</v>
      </c>
      <c r="D10" s="82"/>
    </row>
    <row r="11" spans="1:4" x14ac:dyDescent="0.2">
      <c r="A11" s="26"/>
      <c r="B11" s="26"/>
      <c r="C11" s="26"/>
      <c r="D11" s="26"/>
    </row>
    <row r="12" spans="1:4" s="4" customFormat="1" ht="63" x14ac:dyDescent="0.25">
      <c r="A12" s="9" t="s">
        <v>143</v>
      </c>
      <c r="B12" s="81"/>
      <c r="C12" s="24" t="s">
        <v>144</v>
      </c>
      <c r="D12" s="83"/>
    </row>
  </sheetData>
  <mergeCells count="3">
    <mergeCell ref="A1:B1"/>
    <mergeCell ref="A2:B2"/>
    <mergeCell ref="C2:D2"/>
  </mergeCells>
  <phoneticPr fontId="0" type="noConversion"/>
  <printOptions gridLines="1"/>
  <pageMargins left="0.75" right="0.75" top="1" bottom="1" header="0.5" footer="0.5"/>
  <pageSetup paperSize="9" orientation="landscape" r:id="rId1"/>
  <headerFooter alignWithMargins="0">
    <oddFooter>&amp;RBand A- Exercise 11(L4)</oddFooter>
  </headerFooter>
  <drawing r:id="rId2"/>
  <legacyDrawing r:id="rId3"/>
  <controls>
    <mc:AlternateContent xmlns:mc="http://schemas.openxmlformats.org/markup-compatibility/2006">
      <mc:Choice Requires="x14">
        <control shapeId="10242" r:id="rId4" name="CommandButton1">
          <controlPr defaultSize="0" autoLine="0" r:id="rId5">
            <anchor moveWithCells="1">
              <from>
                <xdr:col>4</xdr:col>
                <xdr:colOff>419100</xdr:colOff>
                <xdr:row>1</xdr:row>
                <xdr:rowOff>152400</xdr:rowOff>
              </from>
              <to>
                <xdr:col>6</xdr:col>
                <xdr:colOff>323850</xdr:colOff>
                <xdr:row>4</xdr:row>
                <xdr:rowOff>28575</xdr:rowOff>
              </to>
            </anchor>
          </controlPr>
        </control>
      </mc:Choice>
      <mc:Fallback>
        <control shapeId="10242" r:id="rId4"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D16"/>
  <sheetViews>
    <sheetView workbookViewId="0">
      <selection activeCell="D14" activeCellId="3" sqref="B14 B16 D16 D14"/>
    </sheetView>
  </sheetViews>
  <sheetFormatPr defaultRowHeight="12.75" x14ac:dyDescent="0.2"/>
  <cols>
    <col min="1" max="1" width="20.5703125" customWidth="1"/>
    <col min="2" max="2" width="19.140625" customWidth="1"/>
    <col min="3" max="3" width="31.5703125" customWidth="1"/>
    <col min="4" max="4" width="20.28515625" customWidth="1"/>
  </cols>
  <sheetData>
    <row r="1" spans="1:4" ht="96.75" customHeight="1" x14ac:dyDescent="0.35">
      <c r="A1" s="131" t="s">
        <v>145</v>
      </c>
      <c r="B1" s="132"/>
    </row>
    <row r="2" spans="1:4" s="4" customFormat="1" ht="37.5" customHeight="1" x14ac:dyDescent="0.2">
      <c r="A2" s="133" t="s">
        <v>146</v>
      </c>
      <c r="B2" s="134"/>
      <c r="C2" s="135" t="s">
        <v>147</v>
      </c>
      <c r="D2" s="136"/>
    </row>
    <row r="3" spans="1:4" s="4" customFormat="1" ht="15.75" x14ac:dyDescent="0.25">
      <c r="A3" s="9" t="s">
        <v>133</v>
      </c>
      <c r="B3" s="9" t="s">
        <v>134</v>
      </c>
      <c r="C3" s="9" t="s">
        <v>133</v>
      </c>
      <c r="D3" s="9" t="s">
        <v>134</v>
      </c>
    </row>
    <row r="4" spans="1:4" s="4" customFormat="1" ht="31.5" customHeight="1" x14ac:dyDescent="0.2">
      <c r="A4" s="40" t="s">
        <v>148</v>
      </c>
      <c r="B4" s="41">
        <v>360</v>
      </c>
      <c r="C4" s="40" t="s">
        <v>149</v>
      </c>
      <c r="D4" s="41">
        <v>1260</v>
      </c>
    </row>
    <row r="5" spans="1:4" s="4" customFormat="1" ht="29.25" customHeight="1" x14ac:dyDescent="0.2">
      <c r="A5" s="40" t="s">
        <v>150</v>
      </c>
      <c r="B5" s="41">
        <v>220</v>
      </c>
      <c r="C5" s="40" t="s">
        <v>151</v>
      </c>
      <c r="D5" s="41">
        <v>200</v>
      </c>
    </row>
    <row r="6" spans="1:4" s="4" customFormat="1" ht="30" x14ac:dyDescent="0.2">
      <c r="A6" s="40" t="s">
        <v>152</v>
      </c>
      <c r="B6" s="41">
        <v>80</v>
      </c>
      <c r="C6" s="40"/>
      <c r="D6" s="41"/>
    </row>
    <row r="7" spans="1:4" s="4" customFormat="1" ht="15" x14ac:dyDescent="0.2">
      <c r="A7" s="40" t="s">
        <v>139</v>
      </c>
      <c r="B7" s="41">
        <v>55</v>
      </c>
      <c r="C7" s="40"/>
      <c r="D7" s="41"/>
    </row>
    <row r="8" spans="1:4" s="4" customFormat="1" ht="15" x14ac:dyDescent="0.2">
      <c r="A8" s="40" t="s">
        <v>153</v>
      </c>
      <c r="B8" s="41">
        <v>14.5</v>
      </c>
      <c r="C8" s="40"/>
      <c r="D8" s="41"/>
    </row>
    <row r="9" spans="1:4" s="4" customFormat="1" ht="15" x14ac:dyDescent="0.2">
      <c r="A9" s="40" t="s">
        <v>154</v>
      </c>
      <c r="B9" s="41">
        <v>44</v>
      </c>
      <c r="C9" s="40"/>
      <c r="D9" s="41"/>
    </row>
    <row r="10" spans="1:4" s="4" customFormat="1" ht="15" x14ac:dyDescent="0.2">
      <c r="A10" s="40" t="s">
        <v>155</v>
      </c>
      <c r="B10" s="41">
        <v>120</v>
      </c>
      <c r="C10" s="26"/>
      <c r="D10" s="42"/>
    </row>
    <row r="11" spans="1:4" s="4" customFormat="1" ht="15" x14ac:dyDescent="0.2">
      <c r="A11" s="40" t="s">
        <v>156</v>
      </c>
      <c r="B11" s="41">
        <v>50</v>
      </c>
      <c r="C11" s="26"/>
      <c r="D11" s="42"/>
    </row>
    <row r="12" spans="1:4" s="4" customFormat="1" ht="15" x14ac:dyDescent="0.2">
      <c r="A12" s="40" t="s">
        <v>157</v>
      </c>
      <c r="B12" s="41">
        <v>16</v>
      </c>
      <c r="C12" s="26"/>
      <c r="D12" s="42"/>
    </row>
    <row r="13" spans="1:4" s="4" customFormat="1" ht="15" x14ac:dyDescent="0.2">
      <c r="A13" s="40" t="s">
        <v>158</v>
      </c>
      <c r="B13" s="41">
        <v>32</v>
      </c>
      <c r="C13" s="26"/>
      <c r="D13" s="42"/>
    </row>
    <row r="14" spans="1:4" s="4" customFormat="1" ht="31.5" x14ac:dyDescent="0.25">
      <c r="A14" s="9" t="s">
        <v>141</v>
      </c>
      <c r="B14" s="84"/>
      <c r="C14" s="9" t="s">
        <v>142</v>
      </c>
      <c r="D14" s="87"/>
    </row>
    <row r="15" spans="1:4" s="4" customFormat="1" x14ac:dyDescent="0.2">
      <c r="A15" s="26"/>
      <c r="B15" s="42"/>
      <c r="C15" s="26"/>
      <c r="D15" s="42"/>
    </row>
    <row r="16" spans="1:4" s="4" customFormat="1" ht="70.5" customHeight="1" x14ac:dyDescent="0.25">
      <c r="A16" s="9" t="s">
        <v>143</v>
      </c>
      <c r="B16" s="85"/>
      <c r="C16" s="24" t="s">
        <v>159</v>
      </c>
      <c r="D16" s="86"/>
    </row>
  </sheetData>
  <mergeCells count="3">
    <mergeCell ref="A1:B1"/>
    <mergeCell ref="A2:B2"/>
    <mergeCell ref="C2:D2"/>
  </mergeCells>
  <phoneticPr fontId="0" type="noConversion"/>
  <printOptions gridLines="1"/>
  <pageMargins left="0.75" right="0.75" top="1" bottom="1" header="0.5" footer="0.5"/>
  <pageSetup paperSize="9" orientation="landscape" r:id="rId1"/>
  <headerFooter alignWithMargins="0">
    <oddFooter>&amp;RBand A- Exercise 12(L4)</oddFooter>
  </headerFooter>
  <drawing r:id="rId2"/>
  <legacyDrawing r:id="rId3"/>
  <controls>
    <mc:AlternateContent xmlns:mc="http://schemas.openxmlformats.org/markup-compatibility/2006">
      <mc:Choice Requires="x14">
        <control shapeId="11266" r:id="rId4" name="CommandButton1">
          <controlPr defaultSize="0" autoLine="0" r:id="rId5">
            <anchor moveWithCells="1">
              <from>
                <xdr:col>4</xdr:col>
                <xdr:colOff>352425</xdr:colOff>
                <xdr:row>1</xdr:row>
                <xdr:rowOff>161925</xdr:rowOff>
              </from>
              <to>
                <xdr:col>6</xdr:col>
                <xdr:colOff>257175</xdr:colOff>
                <xdr:row>3</xdr:row>
                <xdr:rowOff>228600</xdr:rowOff>
              </to>
            </anchor>
          </controlPr>
        </control>
      </mc:Choice>
      <mc:Fallback>
        <control shapeId="11266" r:id="rId4" name="CommandButton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R229"/>
  <sheetViews>
    <sheetView topLeftCell="N1" workbookViewId="0">
      <selection activeCell="T16" sqref="T16"/>
    </sheetView>
  </sheetViews>
  <sheetFormatPr defaultRowHeight="12.75" x14ac:dyDescent="0.2"/>
  <cols>
    <col min="1" max="1" width="15.28515625" hidden="1" customWidth="1"/>
    <col min="2" max="2" width="17.140625" hidden="1" customWidth="1"/>
    <col min="3" max="3" width="15.140625" hidden="1" customWidth="1"/>
    <col min="4" max="4" width="25.85546875" hidden="1" customWidth="1"/>
    <col min="5" max="5" width="21.140625" hidden="1" customWidth="1"/>
    <col min="6" max="7" width="0" hidden="1" customWidth="1"/>
    <col min="8" max="8" width="13.85546875" hidden="1" customWidth="1"/>
    <col min="9" max="9" width="8.140625" hidden="1" customWidth="1"/>
    <col min="10" max="10" width="13" hidden="1" customWidth="1"/>
    <col min="11" max="11" width="10.85546875" hidden="1" customWidth="1"/>
    <col min="12" max="12" width="9.85546875" hidden="1" customWidth="1"/>
    <col min="13" max="13" width="9" hidden="1" customWidth="1"/>
    <col min="16" max="16" width="12.7109375" customWidth="1"/>
    <col min="17" max="17" width="13.7109375" customWidth="1"/>
    <col min="18" max="18" width="14.5703125" bestFit="1" customWidth="1"/>
  </cols>
  <sheetData>
    <row r="1" spans="1:18" ht="13.5" thickBot="1" x14ac:dyDescent="0.25">
      <c r="A1" s="43" t="s">
        <v>160</v>
      </c>
      <c r="B1" s="43" t="s">
        <v>161</v>
      </c>
      <c r="C1" s="43">
        <v>891</v>
      </c>
      <c r="D1" s="45" t="s">
        <v>165</v>
      </c>
      <c r="E1" s="45" t="s">
        <v>166</v>
      </c>
      <c r="F1" s="43"/>
      <c r="G1" s="43"/>
      <c r="H1" s="43" t="s">
        <v>163</v>
      </c>
      <c r="I1" s="44" t="s">
        <v>164</v>
      </c>
      <c r="J1" s="55" t="s">
        <v>671</v>
      </c>
      <c r="K1" s="55" t="s">
        <v>672</v>
      </c>
      <c r="L1" s="55" t="s">
        <v>673</v>
      </c>
      <c r="M1" s="56" t="s">
        <v>674</v>
      </c>
      <c r="N1" s="46"/>
      <c r="P1" s="53" t="s">
        <v>671</v>
      </c>
      <c r="Q1" s="53" t="s">
        <v>219</v>
      </c>
      <c r="R1" s="53" t="s">
        <v>224</v>
      </c>
    </row>
    <row r="2" spans="1:18" ht="13.5" thickBot="1" x14ac:dyDescent="0.25">
      <c r="A2" s="43"/>
      <c r="B2" s="43" t="s">
        <v>167</v>
      </c>
      <c r="C2" s="43">
        <v>13971</v>
      </c>
      <c r="D2" s="45" t="s">
        <v>171</v>
      </c>
      <c r="E2" s="45" t="s">
        <v>172</v>
      </c>
      <c r="F2" s="43"/>
      <c r="G2" s="43"/>
      <c r="H2" s="43" t="s">
        <v>169</v>
      </c>
      <c r="I2" s="44" t="s">
        <v>170</v>
      </c>
      <c r="J2" s="43" t="s">
        <v>160</v>
      </c>
      <c r="K2" s="43">
        <v>0</v>
      </c>
      <c r="L2" s="57">
        <v>1</v>
      </c>
      <c r="M2" s="58">
        <v>27</v>
      </c>
      <c r="N2" s="46"/>
      <c r="P2" s="53">
        <v>1</v>
      </c>
      <c r="Q2" s="54"/>
      <c r="R2" s="54"/>
    </row>
    <row r="3" spans="1:18" ht="13.5" thickBot="1" x14ac:dyDescent="0.25">
      <c r="A3" s="43"/>
      <c r="B3" s="43" t="s">
        <v>173</v>
      </c>
      <c r="C3" s="43">
        <v>160637</v>
      </c>
      <c r="D3" s="45" t="s">
        <v>176</v>
      </c>
      <c r="E3" s="45" t="s">
        <v>177</v>
      </c>
      <c r="F3" s="43"/>
      <c r="G3" s="43"/>
      <c r="H3" s="43" t="s">
        <v>175</v>
      </c>
      <c r="I3" s="48" t="s">
        <v>170</v>
      </c>
      <c r="J3" s="43" t="s">
        <v>256</v>
      </c>
      <c r="K3" s="43">
        <v>0</v>
      </c>
      <c r="L3" s="57">
        <v>28</v>
      </c>
      <c r="M3" s="58">
        <v>39</v>
      </c>
      <c r="N3" s="46"/>
      <c r="P3" s="53">
        <v>2</v>
      </c>
      <c r="Q3" s="54"/>
      <c r="R3" s="54"/>
    </row>
    <row r="4" spans="1:18" ht="13.5" thickBot="1" x14ac:dyDescent="0.25">
      <c r="A4" s="43"/>
      <c r="B4" s="43" t="s">
        <v>178</v>
      </c>
      <c r="C4" s="43">
        <v>169560</v>
      </c>
      <c r="D4" s="45" t="s">
        <v>180</v>
      </c>
      <c r="E4" s="45" t="s">
        <v>181</v>
      </c>
      <c r="F4" s="43"/>
      <c r="G4" s="43"/>
      <c r="H4" s="43" t="s">
        <v>179</v>
      </c>
      <c r="I4" s="48" t="s">
        <v>164</v>
      </c>
      <c r="J4" s="43" t="s">
        <v>291</v>
      </c>
      <c r="K4" s="43">
        <v>0</v>
      </c>
      <c r="L4" s="57">
        <v>40</v>
      </c>
      <c r="M4" s="58">
        <v>68</v>
      </c>
      <c r="N4" s="46"/>
      <c r="P4" s="53">
        <v>3</v>
      </c>
      <c r="Q4" s="54"/>
      <c r="R4" s="54"/>
    </row>
    <row r="5" spans="1:18" ht="13.5" thickBot="1" x14ac:dyDescent="0.25">
      <c r="A5" s="43"/>
      <c r="B5" s="43" t="s">
        <v>182</v>
      </c>
      <c r="C5" s="43">
        <v>154</v>
      </c>
      <c r="D5" s="45" t="s">
        <v>184</v>
      </c>
      <c r="E5" s="45"/>
      <c r="F5" s="43"/>
      <c r="G5" s="43"/>
      <c r="H5" s="43"/>
      <c r="I5" s="49"/>
      <c r="J5" s="43" t="s">
        <v>361</v>
      </c>
      <c r="K5" s="43">
        <v>0</v>
      </c>
      <c r="L5" s="57">
        <v>69</v>
      </c>
      <c r="M5" s="58">
        <v>99</v>
      </c>
      <c r="N5" s="46"/>
      <c r="P5" s="53">
        <v>4</v>
      </c>
      <c r="Q5" s="54"/>
      <c r="R5" s="54"/>
    </row>
    <row r="6" spans="1:18" ht="13.5" thickBot="1" x14ac:dyDescent="0.25">
      <c r="A6" s="43"/>
      <c r="B6" s="43" t="s">
        <v>185</v>
      </c>
      <c r="C6" s="43">
        <v>5384</v>
      </c>
      <c r="D6" s="45" t="s">
        <v>187</v>
      </c>
      <c r="E6" s="45"/>
      <c r="F6" s="43"/>
      <c r="G6" s="43"/>
      <c r="J6" s="43" t="s">
        <v>412</v>
      </c>
      <c r="K6" s="43">
        <v>0</v>
      </c>
      <c r="L6" s="57">
        <v>100</v>
      </c>
      <c r="M6" s="58">
        <v>110</v>
      </c>
      <c r="N6" s="46"/>
      <c r="P6" s="53">
        <v>5</v>
      </c>
      <c r="Q6" s="54"/>
      <c r="R6" s="54"/>
    </row>
    <row r="7" spans="1:18" ht="13.5" thickBot="1" x14ac:dyDescent="0.25">
      <c r="A7" s="43"/>
      <c r="B7" s="43" t="s">
        <v>188</v>
      </c>
      <c r="C7" s="43">
        <v>43934</v>
      </c>
      <c r="D7" s="45" t="s">
        <v>190</v>
      </c>
      <c r="E7" s="45"/>
      <c r="F7" s="43"/>
      <c r="G7" s="43"/>
      <c r="J7" s="43" t="s">
        <v>415</v>
      </c>
      <c r="K7" s="43">
        <v>0</v>
      </c>
      <c r="L7" s="57">
        <v>111</v>
      </c>
      <c r="M7" s="58">
        <v>152</v>
      </c>
      <c r="N7" s="46"/>
      <c r="P7" s="53">
        <v>6</v>
      </c>
      <c r="Q7" s="54"/>
      <c r="R7" s="54"/>
    </row>
    <row r="8" spans="1:18" ht="13.5" thickBot="1" x14ac:dyDescent="0.25">
      <c r="A8" s="43"/>
      <c r="B8" s="43" t="s">
        <v>191</v>
      </c>
      <c r="C8" s="43">
        <v>8332</v>
      </c>
      <c r="D8" s="45" t="s">
        <v>192</v>
      </c>
      <c r="E8" s="45"/>
      <c r="F8" s="43"/>
      <c r="G8" s="43"/>
      <c r="J8" s="43" t="s">
        <v>522</v>
      </c>
      <c r="K8" s="43">
        <v>0</v>
      </c>
      <c r="L8" s="57">
        <v>153</v>
      </c>
      <c r="M8" s="58">
        <v>167</v>
      </c>
      <c r="N8" s="50"/>
      <c r="P8" s="53">
        <v>8</v>
      </c>
      <c r="Q8" s="54"/>
      <c r="R8" s="54"/>
    </row>
    <row r="9" spans="1:18" ht="13.5" thickBot="1" x14ac:dyDescent="0.25">
      <c r="A9" s="43"/>
      <c r="B9" s="43" t="s">
        <v>193</v>
      </c>
      <c r="C9" s="43">
        <v>2345</v>
      </c>
      <c r="D9" s="45" t="s">
        <v>195</v>
      </c>
      <c r="E9" s="45" t="s">
        <v>196</v>
      </c>
      <c r="F9" s="43"/>
      <c r="G9" s="43"/>
      <c r="J9" s="43" t="s">
        <v>546</v>
      </c>
      <c r="K9" s="43">
        <v>0</v>
      </c>
      <c r="L9" s="57">
        <v>168</v>
      </c>
      <c r="M9" s="58">
        <v>171</v>
      </c>
      <c r="N9" s="50"/>
      <c r="P9" s="53">
        <v>9</v>
      </c>
      <c r="Q9" s="54"/>
      <c r="R9" s="54"/>
    </row>
    <row r="10" spans="1:18" ht="13.5" thickBot="1" x14ac:dyDescent="0.25">
      <c r="A10" s="43"/>
      <c r="B10" s="43" t="s">
        <v>197</v>
      </c>
      <c r="C10" s="43">
        <v>12972</v>
      </c>
      <c r="D10" s="45" t="s">
        <v>199</v>
      </c>
      <c r="E10" s="45" t="s">
        <v>200</v>
      </c>
      <c r="F10" s="43"/>
      <c r="G10" s="43"/>
      <c r="J10" s="43" t="s">
        <v>552</v>
      </c>
      <c r="K10" s="43">
        <v>0</v>
      </c>
      <c r="L10" s="57">
        <v>172</v>
      </c>
      <c r="M10" s="58">
        <v>216</v>
      </c>
      <c r="N10" s="50"/>
      <c r="P10" s="53">
        <v>10</v>
      </c>
      <c r="Q10" s="54"/>
      <c r="R10" s="54"/>
    </row>
    <row r="11" spans="1:18" ht="13.5" thickBot="1" x14ac:dyDescent="0.25">
      <c r="A11" s="43"/>
      <c r="B11" s="43" t="s">
        <v>201</v>
      </c>
      <c r="C11" s="43">
        <v>178182</v>
      </c>
      <c r="D11" s="45" t="s">
        <v>203</v>
      </c>
      <c r="E11" s="45" t="s">
        <v>204</v>
      </c>
      <c r="F11" s="43"/>
      <c r="G11" s="43"/>
      <c r="J11" s="43" t="s">
        <v>656</v>
      </c>
      <c r="K11" s="43">
        <v>0</v>
      </c>
      <c r="L11" s="57">
        <v>217</v>
      </c>
      <c r="M11" s="58">
        <v>220</v>
      </c>
      <c r="N11" s="50"/>
      <c r="P11" s="53">
        <v>11</v>
      </c>
      <c r="Q11" s="54"/>
      <c r="R11" s="54"/>
    </row>
    <row r="12" spans="1:18" ht="13.5" thickBot="1" x14ac:dyDescent="0.25">
      <c r="A12" s="43"/>
      <c r="B12" s="43" t="s">
        <v>205</v>
      </c>
      <c r="C12" s="43">
        <v>9322434</v>
      </c>
      <c r="D12" s="45" t="s">
        <v>206</v>
      </c>
      <c r="E12" s="45" t="s">
        <v>207</v>
      </c>
      <c r="F12" s="43"/>
      <c r="G12" s="43"/>
      <c r="J12" s="43" t="s">
        <v>663</v>
      </c>
      <c r="K12" s="43">
        <v>0</v>
      </c>
      <c r="L12" s="57">
        <v>221</v>
      </c>
      <c r="M12" s="58">
        <v>224</v>
      </c>
      <c r="N12" s="50"/>
      <c r="P12" s="53">
        <v>12</v>
      </c>
      <c r="Q12" s="54"/>
      <c r="R12" s="54"/>
    </row>
    <row r="13" spans="1:18" ht="13.5" thickBot="1" x14ac:dyDescent="0.25">
      <c r="A13" s="43"/>
      <c r="B13" s="43" t="s">
        <v>208</v>
      </c>
      <c r="C13" s="43">
        <v>34</v>
      </c>
      <c r="D13" s="45" t="s">
        <v>210</v>
      </c>
      <c r="E13" s="45"/>
      <c r="F13" s="43"/>
      <c r="G13" s="43"/>
      <c r="M13" s="47"/>
      <c r="N13" s="50"/>
      <c r="O13" s="51"/>
      <c r="P13" s="53" t="s">
        <v>696</v>
      </c>
      <c r="Q13" s="54">
        <f>SUM(Q2:Q12)</f>
        <v>0</v>
      </c>
      <c r="R13" s="54">
        <f>SUM(R2:R12)</f>
        <v>0</v>
      </c>
    </row>
    <row r="14" spans="1:18" ht="13.5" thickBot="1" x14ac:dyDescent="0.25">
      <c r="A14" s="43"/>
      <c r="B14" s="43" t="s">
        <v>211</v>
      </c>
      <c r="C14" s="43">
        <v>78</v>
      </c>
      <c r="D14" s="45" t="s">
        <v>213</v>
      </c>
      <c r="E14" s="45"/>
      <c r="F14" s="43"/>
      <c r="G14" s="43"/>
      <c r="M14" s="47"/>
      <c r="N14" s="50"/>
      <c r="O14" s="51"/>
      <c r="P14" s="53" t="s">
        <v>228</v>
      </c>
      <c r="Q14" s="137">
        <f>(Q13+R13)/448</f>
        <v>0</v>
      </c>
      <c r="R14" s="137"/>
    </row>
    <row r="15" spans="1:18" x14ac:dyDescent="0.2">
      <c r="A15" s="43"/>
      <c r="B15" s="43" t="s">
        <v>214</v>
      </c>
      <c r="C15" s="43">
        <v>21</v>
      </c>
      <c r="D15" s="45" t="s">
        <v>216</v>
      </c>
      <c r="E15" s="45"/>
      <c r="F15" s="43"/>
      <c r="G15" s="43"/>
      <c r="H15" s="43"/>
      <c r="I15" s="49"/>
      <c r="M15" s="47"/>
      <c r="N15" s="46"/>
      <c r="O15" s="59"/>
      <c r="P15" s="59"/>
    </row>
    <row r="16" spans="1:18" x14ac:dyDescent="0.2">
      <c r="A16" s="43"/>
      <c r="B16" s="43" t="s">
        <v>217</v>
      </c>
      <c r="C16" s="43">
        <v>203</v>
      </c>
      <c r="D16" s="45" t="s">
        <v>218</v>
      </c>
      <c r="E16" s="45"/>
      <c r="F16" s="43"/>
      <c r="G16" s="43"/>
      <c r="H16" s="43"/>
      <c r="I16" s="49"/>
      <c r="M16" s="47"/>
      <c r="N16" s="46"/>
      <c r="O16" s="60"/>
      <c r="P16" s="61"/>
    </row>
    <row r="17" spans="1:16" x14ac:dyDescent="0.2">
      <c r="A17" s="43"/>
      <c r="B17" s="43" t="s">
        <v>220</v>
      </c>
      <c r="C17" s="43">
        <v>1797</v>
      </c>
      <c r="D17" s="45" t="s">
        <v>222</v>
      </c>
      <c r="E17" s="45" t="s">
        <v>223</v>
      </c>
      <c r="F17" s="43"/>
      <c r="G17" s="43"/>
      <c r="H17" s="43"/>
      <c r="I17" s="49"/>
      <c r="M17" s="47"/>
      <c r="N17" s="46"/>
      <c r="O17" s="60"/>
      <c r="P17" s="61"/>
    </row>
    <row r="18" spans="1:16" x14ac:dyDescent="0.2">
      <c r="A18" s="43"/>
      <c r="B18" s="43" t="s">
        <v>225</v>
      </c>
      <c r="C18" s="43">
        <v>1064</v>
      </c>
      <c r="D18" s="45" t="s">
        <v>226</v>
      </c>
      <c r="E18" s="45" t="s">
        <v>227</v>
      </c>
      <c r="F18" s="43"/>
      <c r="G18" s="43"/>
      <c r="H18" s="43"/>
      <c r="I18" s="49"/>
      <c r="M18" s="47"/>
      <c r="N18" s="46"/>
      <c r="O18" s="60"/>
      <c r="P18" s="62"/>
    </row>
    <row r="19" spans="1:16" x14ac:dyDescent="0.2">
      <c r="A19" s="43"/>
      <c r="B19" s="43" t="s">
        <v>229</v>
      </c>
      <c r="C19" s="43">
        <v>1371</v>
      </c>
      <c r="D19" s="45" t="s">
        <v>230</v>
      </c>
      <c r="E19" s="45" t="s">
        <v>231</v>
      </c>
      <c r="F19" s="43"/>
      <c r="G19" s="43"/>
      <c r="H19" s="43"/>
      <c r="I19" s="49"/>
      <c r="M19" s="47"/>
      <c r="N19" s="46"/>
    </row>
    <row r="20" spans="1:16" x14ac:dyDescent="0.2">
      <c r="A20" s="43"/>
      <c r="B20" s="43" t="s">
        <v>232</v>
      </c>
      <c r="C20" s="43">
        <v>749</v>
      </c>
      <c r="D20" s="45" t="s">
        <v>233</v>
      </c>
      <c r="E20" s="45" t="s">
        <v>234</v>
      </c>
      <c r="F20" s="43"/>
      <c r="G20" s="43"/>
      <c r="H20" s="43"/>
      <c r="I20" s="49"/>
      <c r="M20" s="47"/>
      <c r="N20" s="46"/>
    </row>
    <row r="21" spans="1:16" x14ac:dyDescent="0.2">
      <c r="A21" s="43"/>
      <c r="B21" s="43" t="s">
        <v>235</v>
      </c>
      <c r="C21" s="43">
        <v>868</v>
      </c>
      <c r="D21" s="45" t="s">
        <v>236</v>
      </c>
      <c r="E21" s="45" t="s">
        <v>237</v>
      </c>
      <c r="F21" s="43"/>
      <c r="G21" s="43"/>
      <c r="H21" s="43"/>
      <c r="I21" s="49"/>
      <c r="M21" s="47"/>
      <c r="N21" s="46"/>
    </row>
    <row r="22" spans="1:16" x14ac:dyDescent="0.2">
      <c r="A22" s="43"/>
      <c r="B22" s="43" t="s">
        <v>238</v>
      </c>
      <c r="C22" s="43">
        <v>696</v>
      </c>
      <c r="D22" s="45" t="s">
        <v>239</v>
      </c>
      <c r="E22" s="45" t="s">
        <v>240</v>
      </c>
      <c r="F22" s="43"/>
      <c r="G22" s="43"/>
      <c r="H22" s="43"/>
      <c r="I22" s="49"/>
      <c r="M22" s="47"/>
      <c r="N22" s="46"/>
    </row>
    <row r="23" spans="1:16" x14ac:dyDescent="0.2">
      <c r="A23" s="43"/>
      <c r="B23" s="43" t="s">
        <v>241</v>
      </c>
      <c r="C23" s="43">
        <v>1827</v>
      </c>
      <c r="D23" s="45" t="s">
        <v>242</v>
      </c>
      <c r="E23" s="45" t="s">
        <v>243</v>
      </c>
      <c r="F23" s="43"/>
      <c r="G23" s="43"/>
      <c r="H23" s="43"/>
      <c r="I23" s="49"/>
      <c r="M23" s="47"/>
      <c r="N23" s="46"/>
    </row>
    <row r="24" spans="1:16" x14ac:dyDescent="0.2">
      <c r="A24" s="43"/>
      <c r="B24" s="43" t="s">
        <v>244</v>
      </c>
      <c r="C24" s="43">
        <v>834</v>
      </c>
      <c r="D24" s="45" t="s">
        <v>245</v>
      </c>
      <c r="E24" s="45" t="s">
        <v>246</v>
      </c>
      <c r="F24" s="43"/>
      <c r="G24" s="43"/>
      <c r="H24" s="43"/>
      <c r="I24" s="49"/>
      <c r="M24" s="47"/>
      <c r="N24" s="46"/>
    </row>
    <row r="25" spans="1:16" x14ac:dyDescent="0.2">
      <c r="A25" s="43"/>
      <c r="B25" s="43" t="s">
        <v>247</v>
      </c>
      <c r="C25" s="43">
        <v>148</v>
      </c>
      <c r="D25" s="45" t="s">
        <v>248</v>
      </c>
      <c r="E25" s="45" t="s">
        <v>249</v>
      </c>
      <c r="F25" s="43"/>
      <c r="G25" s="43"/>
      <c r="H25" s="43"/>
      <c r="I25" s="49"/>
      <c r="M25" s="47"/>
      <c r="N25" s="46"/>
    </row>
    <row r="26" spans="1:16" x14ac:dyDescent="0.2">
      <c r="A26" s="43"/>
      <c r="B26" s="43" t="s">
        <v>250</v>
      </c>
      <c r="C26" s="43">
        <v>608</v>
      </c>
      <c r="D26" s="45" t="s">
        <v>251</v>
      </c>
      <c r="E26" s="45" t="s">
        <v>252</v>
      </c>
      <c r="F26" s="43"/>
      <c r="G26" s="43"/>
      <c r="H26" s="43"/>
      <c r="I26" s="49"/>
      <c r="M26" s="47"/>
      <c r="N26" s="46"/>
    </row>
    <row r="27" spans="1:16" x14ac:dyDescent="0.2">
      <c r="A27" s="43"/>
      <c r="B27" s="43" t="s">
        <v>253</v>
      </c>
      <c r="C27" s="43">
        <v>4981</v>
      </c>
      <c r="D27" s="45" t="s">
        <v>254</v>
      </c>
      <c r="E27" s="45" t="s">
        <v>255</v>
      </c>
      <c r="G27" s="43"/>
      <c r="H27" s="43"/>
      <c r="I27" s="49"/>
      <c r="M27" s="47"/>
      <c r="N27" s="46"/>
    </row>
    <row r="28" spans="1:16" x14ac:dyDescent="0.2">
      <c r="A28" s="43" t="s">
        <v>256</v>
      </c>
      <c r="B28" s="43" t="s">
        <v>257</v>
      </c>
      <c r="C28" s="43">
        <v>34.96</v>
      </c>
      <c r="D28" s="45" t="s">
        <v>259</v>
      </c>
      <c r="E28" s="45" t="s">
        <v>260</v>
      </c>
    </row>
    <row r="29" spans="1:16" x14ac:dyDescent="0.2">
      <c r="A29" s="43"/>
      <c r="B29" s="43" t="s">
        <v>261</v>
      </c>
      <c r="C29" s="43">
        <v>23.8</v>
      </c>
      <c r="D29" s="45" t="s">
        <v>262</v>
      </c>
      <c r="E29" s="45" t="s">
        <v>263</v>
      </c>
    </row>
    <row r="30" spans="1:16" x14ac:dyDescent="0.2">
      <c r="A30" s="43"/>
      <c r="B30" s="43" t="s">
        <v>162</v>
      </c>
      <c r="C30" s="43">
        <v>29.24</v>
      </c>
      <c r="D30" s="45" t="s">
        <v>264</v>
      </c>
      <c r="E30" s="45" t="s">
        <v>265</v>
      </c>
    </row>
    <row r="31" spans="1:16" x14ac:dyDescent="0.2">
      <c r="A31" s="43"/>
      <c r="B31" s="43" t="s">
        <v>266</v>
      </c>
      <c r="C31" s="43">
        <v>26.28</v>
      </c>
      <c r="D31" s="45" t="s">
        <v>267</v>
      </c>
      <c r="E31" s="45" t="s">
        <v>268</v>
      </c>
    </row>
    <row r="32" spans="1:16" x14ac:dyDescent="0.2">
      <c r="A32" s="43"/>
      <c r="B32" s="43" t="s">
        <v>269</v>
      </c>
      <c r="C32" s="43">
        <v>18.88</v>
      </c>
      <c r="D32" s="45" t="s">
        <v>270</v>
      </c>
      <c r="E32" s="45" t="s">
        <v>271</v>
      </c>
    </row>
    <row r="33" spans="1:5" x14ac:dyDescent="0.2">
      <c r="A33" s="43"/>
      <c r="B33" s="43" t="s">
        <v>272</v>
      </c>
      <c r="C33" s="43">
        <v>54</v>
      </c>
      <c r="D33" s="45" t="s">
        <v>273</v>
      </c>
      <c r="E33" s="45" t="s">
        <v>274</v>
      </c>
    </row>
    <row r="34" spans="1:5" x14ac:dyDescent="0.2">
      <c r="A34" s="43"/>
      <c r="B34" s="43" t="s">
        <v>183</v>
      </c>
      <c r="C34" s="43">
        <v>31.36</v>
      </c>
      <c r="D34" s="45" t="s">
        <v>275</v>
      </c>
      <c r="E34" s="45" t="s">
        <v>276</v>
      </c>
    </row>
    <row r="35" spans="1:5" x14ac:dyDescent="0.2">
      <c r="A35" s="43"/>
      <c r="B35" s="43" t="s">
        <v>277</v>
      </c>
      <c r="C35" s="43">
        <v>8.25</v>
      </c>
      <c r="D35" s="45" t="s">
        <v>278</v>
      </c>
      <c r="E35" s="45" t="s">
        <v>279</v>
      </c>
    </row>
    <row r="36" spans="1:5" x14ac:dyDescent="0.2">
      <c r="A36" s="43"/>
      <c r="B36" s="43" t="s">
        <v>280</v>
      </c>
      <c r="C36" s="43">
        <v>9</v>
      </c>
      <c r="D36" s="45" t="s">
        <v>281</v>
      </c>
      <c r="E36" s="45" t="s">
        <v>282</v>
      </c>
    </row>
    <row r="37" spans="1:5" x14ac:dyDescent="0.2">
      <c r="A37" s="43"/>
      <c r="B37" s="43" t="s">
        <v>283</v>
      </c>
      <c r="C37" s="43">
        <v>76.5</v>
      </c>
      <c r="D37" s="45" t="s">
        <v>284</v>
      </c>
      <c r="E37" s="45" t="s">
        <v>285</v>
      </c>
    </row>
    <row r="38" spans="1:5" x14ac:dyDescent="0.2">
      <c r="A38" s="43"/>
      <c r="B38" s="43" t="s">
        <v>194</v>
      </c>
      <c r="C38" s="43">
        <v>46.8</v>
      </c>
      <c r="D38" s="45" t="s">
        <v>286</v>
      </c>
      <c r="E38" s="45" t="s">
        <v>287</v>
      </c>
    </row>
    <row r="39" spans="1:5" x14ac:dyDescent="0.2">
      <c r="A39" s="43"/>
      <c r="B39" s="43" t="s">
        <v>288</v>
      </c>
      <c r="C39" s="43">
        <v>359.07</v>
      </c>
      <c r="D39" s="45" t="s">
        <v>289</v>
      </c>
      <c r="E39" s="45" t="s">
        <v>290</v>
      </c>
    </row>
    <row r="40" spans="1:5" x14ac:dyDescent="0.2">
      <c r="A40" s="43" t="s">
        <v>291</v>
      </c>
      <c r="B40" s="43" t="s">
        <v>292</v>
      </c>
      <c r="C40" s="43">
        <v>0.11</v>
      </c>
      <c r="D40" s="45" t="s">
        <v>294</v>
      </c>
      <c r="E40" s="43"/>
    </row>
    <row r="41" spans="1:5" x14ac:dyDescent="0.2">
      <c r="A41" s="43"/>
      <c r="B41" s="43" t="s">
        <v>295</v>
      </c>
      <c r="C41" s="43">
        <v>0.09</v>
      </c>
      <c r="D41" s="45" t="s">
        <v>296</v>
      </c>
      <c r="E41" s="43"/>
    </row>
    <row r="42" spans="1:5" x14ac:dyDescent="0.2">
      <c r="A42" s="43"/>
      <c r="B42" s="43" t="s">
        <v>297</v>
      </c>
      <c r="C42" s="43">
        <v>0.09</v>
      </c>
      <c r="D42" s="45" t="s">
        <v>298</v>
      </c>
      <c r="E42" s="43"/>
    </row>
    <row r="43" spans="1:5" x14ac:dyDescent="0.2">
      <c r="A43" s="43"/>
      <c r="B43" s="43" t="s">
        <v>299</v>
      </c>
      <c r="C43" s="43">
        <v>0.1</v>
      </c>
      <c r="D43" s="45" t="s">
        <v>300</v>
      </c>
      <c r="E43" s="43"/>
    </row>
    <row r="44" spans="1:5" x14ac:dyDescent="0.2">
      <c r="A44" s="43"/>
      <c r="B44" s="43" t="s">
        <v>301</v>
      </c>
      <c r="C44" s="43">
        <v>0.08</v>
      </c>
      <c r="D44" s="45" t="s">
        <v>302</v>
      </c>
      <c r="E44" s="43"/>
    </row>
    <row r="45" spans="1:5" x14ac:dyDescent="0.2">
      <c r="A45" s="43"/>
      <c r="B45" s="43" t="s">
        <v>303</v>
      </c>
      <c r="C45" s="43">
        <v>0.11</v>
      </c>
      <c r="D45" s="45" t="s">
        <v>304</v>
      </c>
      <c r="E45" s="43"/>
    </row>
    <row r="46" spans="1:5" x14ac:dyDescent="0.2">
      <c r="A46" s="43"/>
      <c r="B46" s="43" t="s">
        <v>305</v>
      </c>
      <c r="C46" s="43">
        <v>0.09</v>
      </c>
      <c r="D46" s="45" t="s">
        <v>306</v>
      </c>
      <c r="E46" s="43"/>
    </row>
    <row r="47" spans="1:5" x14ac:dyDescent="0.2">
      <c r="A47" s="43"/>
      <c r="B47" s="43" t="s">
        <v>307</v>
      </c>
      <c r="C47" s="43">
        <v>0.04</v>
      </c>
      <c r="D47" s="45" t="s">
        <v>308</v>
      </c>
      <c r="E47" s="43"/>
    </row>
    <row r="48" spans="1:5" x14ac:dyDescent="0.2">
      <c r="A48" s="43"/>
      <c r="B48" s="43" t="s">
        <v>309</v>
      </c>
      <c r="C48" s="43">
        <v>0.05</v>
      </c>
      <c r="D48" s="45" t="s">
        <v>310</v>
      </c>
      <c r="E48" s="43"/>
    </row>
    <row r="49" spans="1:5" x14ac:dyDescent="0.2">
      <c r="A49" s="43"/>
      <c r="B49" s="43" t="s">
        <v>311</v>
      </c>
      <c r="C49" s="43">
        <v>0.13</v>
      </c>
      <c r="D49" s="45" t="s">
        <v>312</v>
      </c>
      <c r="E49" s="43"/>
    </row>
    <row r="50" spans="1:5" x14ac:dyDescent="0.2">
      <c r="A50" s="43"/>
      <c r="B50" s="43" t="s">
        <v>313</v>
      </c>
      <c r="C50" s="43">
        <v>0.09</v>
      </c>
      <c r="D50" s="45" t="s">
        <v>314</v>
      </c>
      <c r="E50" s="43"/>
    </row>
    <row r="51" spans="1:5" x14ac:dyDescent="0.2">
      <c r="A51" s="43"/>
      <c r="B51" s="43" t="s">
        <v>315</v>
      </c>
      <c r="C51" s="43">
        <v>0.2</v>
      </c>
      <c r="D51" s="45" t="s">
        <v>316</v>
      </c>
      <c r="E51" s="43"/>
    </row>
    <row r="52" spans="1:5" x14ac:dyDescent="0.2">
      <c r="A52" s="43"/>
      <c r="B52" s="43" t="s">
        <v>317</v>
      </c>
      <c r="C52" s="43">
        <v>0.22</v>
      </c>
      <c r="D52" s="45" t="s">
        <v>318</v>
      </c>
      <c r="E52" s="43"/>
    </row>
    <row r="53" spans="1:5" x14ac:dyDescent="0.2">
      <c r="A53" s="43"/>
      <c r="B53" s="43" t="s">
        <v>319</v>
      </c>
      <c r="C53" s="43">
        <v>0.23</v>
      </c>
      <c r="D53" s="45" t="s">
        <v>320</v>
      </c>
      <c r="E53" s="43"/>
    </row>
    <row r="54" spans="1:5" x14ac:dyDescent="0.2">
      <c r="A54" s="43"/>
      <c r="B54" s="43" t="s">
        <v>321</v>
      </c>
      <c r="C54" s="43">
        <v>10.119999999999999</v>
      </c>
      <c r="D54" s="45" t="s">
        <v>322</v>
      </c>
      <c r="E54" s="45" t="s">
        <v>323</v>
      </c>
    </row>
    <row r="55" spans="1:5" x14ac:dyDescent="0.2">
      <c r="A55" s="43"/>
      <c r="B55" s="43" t="s">
        <v>324</v>
      </c>
      <c r="C55" s="43">
        <v>6.12</v>
      </c>
      <c r="D55" s="45" t="s">
        <v>325</v>
      </c>
      <c r="E55" s="45" t="s">
        <v>326</v>
      </c>
    </row>
    <row r="56" spans="1:5" x14ac:dyDescent="0.2">
      <c r="A56" s="43"/>
      <c r="B56" s="43" t="s">
        <v>167</v>
      </c>
      <c r="C56" s="43">
        <v>7.74</v>
      </c>
      <c r="D56" s="45" t="s">
        <v>327</v>
      </c>
      <c r="E56" s="45" t="s">
        <v>328</v>
      </c>
    </row>
    <row r="57" spans="1:5" x14ac:dyDescent="0.2">
      <c r="A57" s="43"/>
      <c r="B57" s="43" t="s">
        <v>329</v>
      </c>
      <c r="C57" s="43">
        <v>7.3</v>
      </c>
      <c r="D57" s="45" t="s">
        <v>330</v>
      </c>
      <c r="E57" s="45" t="s">
        <v>331</v>
      </c>
    </row>
    <row r="58" spans="1:5" x14ac:dyDescent="0.2">
      <c r="A58" s="43"/>
      <c r="B58" s="43" t="s">
        <v>332</v>
      </c>
      <c r="C58" s="43">
        <v>4.72</v>
      </c>
      <c r="D58" s="45" t="s">
        <v>333</v>
      </c>
      <c r="E58" s="45" t="s">
        <v>334</v>
      </c>
    </row>
    <row r="59" spans="1:5" x14ac:dyDescent="0.2">
      <c r="A59" s="43"/>
      <c r="B59" s="43" t="s">
        <v>335</v>
      </c>
      <c r="C59" s="43">
        <v>19.8</v>
      </c>
      <c r="D59" s="45" t="s">
        <v>336</v>
      </c>
      <c r="E59" s="45" t="s">
        <v>337</v>
      </c>
    </row>
    <row r="60" spans="1:5" x14ac:dyDescent="0.2">
      <c r="A60" s="43"/>
      <c r="B60" s="43" t="s">
        <v>185</v>
      </c>
      <c r="C60" s="43">
        <v>8.82</v>
      </c>
      <c r="D60" s="45" t="s">
        <v>338</v>
      </c>
      <c r="E60" s="45" t="s">
        <v>339</v>
      </c>
    </row>
    <row r="61" spans="1:5" x14ac:dyDescent="0.2">
      <c r="A61" s="43"/>
      <c r="B61" s="43" t="s">
        <v>340</v>
      </c>
      <c r="C61" s="43">
        <v>2.2000000000000002</v>
      </c>
      <c r="D61" s="45" t="s">
        <v>341</v>
      </c>
      <c r="E61" s="45" t="s">
        <v>342</v>
      </c>
    </row>
    <row r="62" spans="1:5" x14ac:dyDescent="0.2">
      <c r="A62" s="43"/>
      <c r="B62" s="43" t="s">
        <v>343</v>
      </c>
      <c r="C62" s="43">
        <v>3</v>
      </c>
      <c r="D62" s="45" t="s">
        <v>344</v>
      </c>
      <c r="E62" s="45" t="s">
        <v>345</v>
      </c>
    </row>
    <row r="63" spans="1:5" x14ac:dyDescent="0.2">
      <c r="A63" s="43"/>
      <c r="B63" s="43" t="s">
        <v>346</v>
      </c>
      <c r="C63" s="43">
        <v>22.1</v>
      </c>
      <c r="D63" s="45" t="s">
        <v>347</v>
      </c>
      <c r="E63" s="45" t="s">
        <v>348</v>
      </c>
    </row>
    <row r="64" spans="1:5" x14ac:dyDescent="0.2">
      <c r="A64" s="43"/>
      <c r="B64" s="43" t="s">
        <v>197</v>
      </c>
      <c r="C64" s="43">
        <v>14.04</v>
      </c>
      <c r="D64" s="45" t="s">
        <v>349</v>
      </c>
      <c r="E64" s="45" t="s">
        <v>350</v>
      </c>
    </row>
    <row r="65" spans="1:5" x14ac:dyDescent="0.2">
      <c r="A65" s="43"/>
      <c r="B65" s="43" t="s">
        <v>351</v>
      </c>
      <c r="C65" s="43">
        <v>24</v>
      </c>
      <c r="D65" s="45" t="s">
        <v>352</v>
      </c>
      <c r="E65" s="45" t="s">
        <v>353</v>
      </c>
    </row>
    <row r="66" spans="1:5" x14ac:dyDescent="0.2">
      <c r="A66" s="43"/>
      <c r="B66" s="43" t="s">
        <v>354</v>
      </c>
      <c r="C66" s="43">
        <v>29.7</v>
      </c>
      <c r="D66" s="45" t="s">
        <v>355</v>
      </c>
      <c r="E66" s="45" t="s">
        <v>356</v>
      </c>
    </row>
    <row r="67" spans="1:5" x14ac:dyDescent="0.2">
      <c r="A67" s="43"/>
      <c r="B67" s="43" t="s">
        <v>258</v>
      </c>
      <c r="C67" s="43">
        <v>19.55</v>
      </c>
      <c r="D67" s="45" t="s">
        <v>357</v>
      </c>
      <c r="E67" s="45" t="s">
        <v>358</v>
      </c>
    </row>
    <row r="68" spans="1:5" x14ac:dyDescent="0.2">
      <c r="A68" s="43"/>
      <c r="B68" s="43" t="s">
        <v>211</v>
      </c>
      <c r="C68" s="43">
        <v>179.21</v>
      </c>
      <c r="D68" s="45" t="s">
        <v>359</v>
      </c>
      <c r="E68" s="45" t="s">
        <v>360</v>
      </c>
    </row>
    <row r="69" spans="1:5" x14ac:dyDescent="0.2">
      <c r="A69" s="43" t="s">
        <v>361</v>
      </c>
      <c r="B69" s="43" t="s">
        <v>257</v>
      </c>
      <c r="C69" s="43">
        <v>25</v>
      </c>
      <c r="D69" s="45" t="s">
        <v>362</v>
      </c>
      <c r="E69" s="43"/>
    </row>
    <row r="70" spans="1:5" x14ac:dyDescent="0.2">
      <c r="A70" s="43"/>
      <c r="B70" s="43" t="s">
        <v>261</v>
      </c>
      <c r="C70" s="43">
        <v>15</v>
      </c>
      <c r="D70" s="45" t="s">
        <v>363</v>
      </c>
      <c r="E70" s="43"/>
    </row>
    <row r="71" spans="1:5" x14ac:dyDescent="0.2">
      <c r="A71" s="43"/>
      <c r="B71" s="43" t="s">
        <v>162</v>
      </c>
      <c r="C71" s="43">
        <v>15</v>
      </c>
      <c r="D71" s="45" t="s">
        <v>364</v>
      </c>
      <c r="E71" s="43"/>
    </row>
    <row r="72" spans="1:5" x14ac:dyDescent="0.2">
      <c r="A72" s="43"/>
      <c r="B72" s="43" t="s">
        <v>266</v>
      </c>
      <c r="C72" s="43">
        <v>10</v>
      </c>
      <c r="D72" s="45" t="s">
        <v>365</v>
      </c>
      <c r="E72" s="43"/>
    </row>
    <row r="73" spans="1:5" x14ac:dyDescent="0.2">
      <c r="A73" s="43"/>
      <c r="B73" s="43" t="s">
        <v>269</v>
      </c>
      <c r="C73" s="43">
        <v>13</v>
      </c>
      <c r="D73" s="45" t="s">
        <v>366</v>
      </c>
      <c r="E73" s="43"/>
    </row>
    <row r="74" spans="1:5" x14ac:dyDescent="0.2">
      <c r="A74" s="43"/>
      <c r="B74" s="43" t="s">
        <v>272</v>
      </c>
      <c r="C74" s="43">
        <v>17</v>
      </c>
      <c r="D74" s="45" t="s">
        <v>367</v>
      </c>
      <c r="E74" s="43"/>
    </row>
    <row r="75" spans="1:5" x14ac:dyDescent="0.2">
      <c r="A75" s="43"/>
      <c r="B75" s="43" t="s">
        <v>183</v>
      </c>
      <c r="C75" s="43">
        <v>45</v>
      </c>
      <c r="D75" s="45" t="s">
        <v>368</v>
      </c>
      <c r="E75" s="43"/>
    </row>
    <row r="76" spans="1:5" x14ac:dyDescent="0.2">
      <c r="A76" s="43"/>
      <c r="B76" s="43" t="s">
        <v>277</v>
      </c>
      <c r="C76" s="43">
        <v>12</v>
      </c>
      <c r="D76" s="45" t="s">
        <v>369</v>
      </c>
      <c r="E76" s="43"/>
    </row>
    <row r="77" spans="1:5" x14ac:dyDescent="0.2">
      <c r="A77" s="43"/>
      <c r="B77" s="43" t="s">
        <v>280</v>
      </c>
      <c r="C77" s="43">
        <v>10</v>
      </c>
      <c r="D77" s="45" t="s">
        <v>370</v>
      </c>
      <c r="E77" s="43"/>
    </row>
    <row r="78" spans="1:5" x14ac:dyDescent="0.2">
      <c r="A78" s="43"/>
      <c r="B78" s="43" t="s">
        <v>283</v>
      </c>
      <c r="C78" s="43">
        <v>15</v>
      </c>
      <c r="D78" s="45" t="s">
        <v>371</v>
      </c>
      <c r="E78" s="43"/>
    </row>
    <row r="79" spans="1:5" x14ac:dyDescent="0.2">
      <c r="A79" s="43"/>
      <c r="B79" s="43" t="s">
        <v>194</v>
      </c>
      <c r="C79" s="43">
        <v>13</v>
      </c>
      <c r="D79" s="45" t="s">
        <v>372</v>
      </c>
      <c r="E79" s="43"/>
    </row>
    <row r="80" spans="1:5" x14ac:dyDescent="0.2">
      <c r="A80" s="43"/>
      <c r="B80" s="43" t="s">
        <v>288</v>
      </c>
      <c r="C80" s="43">
        <v>20</v>
      </c>
      <c r="D80" s="45" t="s">
        <v>373</v>
      </c>
      <c r="E80" s="43"/>
    </row>
    <row r="81" spans="1:5" x14ac:dyDescent="0.2">
      <c r="A81" s="43"/>
      <c r="B81" s="43" t="s">
        <v>374</v>
      </c>
      <c r="C81" s="43">
        <v>30</v>
      </c>
      <c r="D81" s="45" t="s">
        <v>375</v>
      </c>
      <c r="E81" s="43"/>
    </row>
    <row r="82" spans="1:5" x14ac:dyDescent="0.2">
      <c r="A82" s="43"/>
      <c r="B82" s="43" t="s">
        <v>376</v>
      </c>
      <c r="C82" s="43">
        <v>20</v>
      </c>
      <c r="D82" s="45" t="s">
        <v>377</v>
      </c>
      <c r="E82" s="43"/>
    </row>
    <row r="83" spans="1:5" x14ac:dyDescent="0.2">
      <c r="A83" s="43"/>
      <c r="B83" s="43" t="s">
        <v>209</v>
      </c>
      <c r="C83" s="43">
        <v>25</v>
      </c>
      <c r="D83" s="45" t="s">
        <v>378</v>
      </c>
      <c r="E83" s="43"/>
    </row>
    <row r="84" spans="1:5" x14ac:dyDescent="0.2">
      <c r="A84" s="43"/>
      <c r="B84" s="43" t="s">
        <v>321</v>
      </c>
      <c r="C84" s="43">
        <v>975</v>
      </c>
      <c r="D84" s="45" t="s">
        <v>379</v>
      </c>
      <c r="E84" s="45" t="s">
        <v>380</v>
      </c>
    </row>
    <row r="85" spans="1:5" x14ac:dyDescent="0.2">
      <c r="A85" s="43"/>
      <c r="B85" s="43" t="s">
        <v>324</v>
      </c>
      <c r="C85" s="43">
        <v>705</v>
      </c>
      <c r="D85" s="45" t="s">
        <v>381</v>
      </c>
      <c r="E85" s="45" t="s">
        <v>382</v>
      </c>
    </row>
    <row r="86" spans="1:5" x14ac:dyDescent="0.2">
      <c r="A86" s="43"/>
      <c r="B86" s="43" t="s">
        <v>167</v>
      </c>
      <c r="C86" s="43">
        <v>945</v>
      </c>
      <c r="D86" s="45" t="s">
        <v>383</v>
      </c>
      <c r="E86" s="45" t="s">
        <v>384</v>
      </c>
    </row>
    <row r="87" spans="1:5" x14ac:dyDescent="0.2">
      <c r="A87" s="43"/>
      <c r="B87" s="43" t="s">
        <v>329</v>
      </c>
      <c r="C87" s="43">
        <v>380</v>
      </c>
      <c r="D87" s="45" t="s">
        <v>385</v>
      </c>
      <c r="E87" s="45" t="s">
        <v>386</v>
      </c>
    </row>
    <row r="88" spans="1:5" x14ac:dyDescent="0.2">
      <c r="A88" s="43"/>
      <c r="B88" s="43" t="s">
        <v>332</v>
      </c>
      <c r="C88" s="43">
        <v>598</v>
      </c>
      <c r="D88" s="45" t="s">
        <v>387</v>
      </c>
      <c r="E88" s="45" t="s">
        <v>388</v>
      </c>
    </row>
    <row r="89" spans="1:5" x14ac:dyDescent="0.2">
      <c r="A89" s="43"/>
      <c r="B89" s="43" t="s">
        <v>335</v>
      </c>
      <c r="C89" s="43">
        <v>306</v>
      </c>
      <c r="D89" s="45" t="s">
        <v>389</v>
      </c>
      <c r="E89" s="45" t="s">
        <v>390</v>
      </c>
    </row>
    <row r="90" spans="1:5" x14ac:dyDescent="0.2">
      <c r="A90" s="43"/>
      <c r="B90" s="43" t="s">
        <v>185</v>
      </c>
      <c r="C90" s="43">
        <v>810</v>
      </c>
      <c r="D90" s="45" t="s">
        <v>391</v>
      </c>
      <c r="E90" s="45" t="s">
        <v>392</v>
      </c>
    </row>
    <row r="91" spans="1:5" x14ac:dyDescent="0.2">
      <c r="A91" s="43"/>
      <c r="B91" s="43" t="s">
        <v>340</v>
      </c>
      <c r="C91" s="43">
        <v>1296</v>
      </c>
      <c r="D91" s="45" t="s">
        <v>393</v>
      </c>
      <c r="E91" s="45" t="s">
        <v>394</v>
      </c>
    </row>
    <row r="92" spans="1:5" x14ac:dyDescent="0.2">
      <c r="A92" s="43"/>
      <c r="B92" s="43" t="s">
        <v>343</v>
      </c>
      <c r="C92" s="43">
        <v>410</v>
      </c>
      <c r="D92" s="45" t="s">
        <v>395</v>
      </c>
      <c r="E92" s="45" t="s">
        <v>396</v>
      </c>
    </row>
    <row r="93" spans="1:5" x14ac:dyDescent="0.2">
      <c r="A93" s="43"/>
      <c r="B93" s="43" t="s">
        <v>346</v>
      </c>
      <c r="C93" s="43">
        <v>285</v>
      </c>
      <c r="D93" s="45" t="s">
        <v>397</v>
      </c>
      <c r="E93" s="45" t="s">
        <v>398</v>
      </c>
    </row>
    <row r="94" spans="1:5" x14ac:dyDescent="0.2">
      <c r="A94" s="43"/>
      <c r="B94" s="43" t="s">
        <v>197</v>
      </c>
      <c r="C94" s="43">
        <v>416</v>
      </c>
      <c r="D94" s="45" t="s">
        <v>399</v>
      </c>
      <c r="E94" s="45" t="s">
        <v>400</v>
      </c>
    </row>
    <row r="95" spans="1:5" x14ac:dyDescent="0.2">
      <c r="A95" s="43"/>
      <c r="B95" s="43" t="s">
        <v>351</v>
      </c>
      <c r="C95" s="43">
        <v>760</v>
      </c>
      <c r="D95" s="45" t="s">
        <v>401</v>
      </c>
      <c r="E95" s="45" t="s">
        <v>402</v>
      </c>
    </row>
    <row r="96" spans="1:5" x14ac:dyDescent="0.2">
      <c r="A96" s="43"/>
      <c r="B96" s="43" t="s">
        <v>354</v>
      </c>
      <c r="C96" s="43">
        <v>1470</v>
      </c>
      <c r="D96" s="45" t="s">
        <v>403</v>
      </c>
      <c r="E96" s="45" t="s">
        <v>404</v>
      </c>
    </row>
    <row r="97" spans="1:5" x14ac:dyDescent="0.2">
      <c r="A97" s="43"/>
      <c r="B97" s="43" t="s">
        <v>258</v>
      </c>
      <c r="C97" s="43">
        <v>1060</v>
      </c>
      <c r="D97" s="45" t="s">
        <v>405</v>
      </c>
      <c r="E97" s="45" t="s">
        <v>406</v>
      </c>
    </row>
    <row r="98" spans="1:5" x14ac:dyDescent="0.2">
      <c r="A98" s="43"/>
      <c r="B98" s="43" t="s">
        <v>211</v>
      </c>
      <c r="C98" s="43">
        <v>1900</v>
      </c>
      <c r="D98" s="45" t="s">
        <v>407</v>
      </c>
      <c r="E98" s="45" t="s">
        <v>408</v>
      </c>
    </row>
    <row r="99" spans="1:5" x14ac:dyDescent="0.2">
      <c r="A99" s="43"/>
      <c r="B99" s="43" t="s">
        <v>409</v>
      </c>
      <c r="C99" s="43">
        <v>12316</v>
      </c>
      <c r="D99" s="45" t="s">
        <v>410</v>
      </c>
      <c r="E99" s="45" t="s">
        <v>411</v>
      </c>
    </row>
    <row r="100" spans="1:5" x14ac:dyDescent="0.2">
      <c r="A100" s="43" t="s">
        <v>412</v>
      </c>
      <c r="B100" s="43" t="s">
        <v>321</v>
      </c>
      <c r="C100" s="43">
        <v>575</v>
      </c>
      <c r="D100" s="45" t="s">
        <v>380</v>
      </c>
      <c r="E100" s="45" t="s">
        <v>379</v>
      </c>
    </row>
    <row r="101" spans="1:5" x14ac:dyDescent="0.2">
      <c r="A101" s="43"/>
      <c r="B101" s="43" t="s">
        <v>324</v>
      </c>
      <c r="C101" s="43">
        <v>273</v>
      </c>
      <c r="D101" s="45" t="s">
        <v>382</v>
      </c>
      <c r="E101" s="45" t="s">
        <v>381</v>
      </c>
    </row>
    <row r="102" spans="1:5" x14ac:dyDescent="0.2">
      <c r="A102" s="43"/>
      <c r="B102" s="43" t="s">
        <v>167</v>
      </c>
      <c r="C102" s="43">
        <v>389.5</v>
      </c>
      <c r="D102" s="45" t="s">
        <v>384</v>
      </c>
      <c r="E102" s="45" t="s">
        <v>383</v>
      </c>
    </row>
    <row r="103" spans="1:5" x14ac:dyDescent="0.2">
      <c r="A103" s="43"/>
      <c r="B103" s="43" t="s">
        <v>329</v>
      </c>
      <c r="C103" s="43">
        <v>330</v>
      </c>
      <c r="D103" s="45" t="s">
        <v>386</v>
      </c>
      <c r="E103" s="45" t="s">
        <v>385</v>
      </c>
    </row>
    <row r="104" spans="1:5" x14ac:dyDescent="0.2">
      <c r="A104" s="43"/>
      <c r="B104" s="43" t="s">
        <v>332</v>
      </c>
      <c r="C104" s="43">
        <v>266.39999999999998</v>
      </c>
      <c r="D104" s="45" t="s">
        <v>388</v>
      </c>
      <c r="E104" s="45" t="s">
        <v>387</v>
      </c>
    </row>
    <row r="105" spans="1:5" x14ac:dyDescent="0.2">
      <c r="A105" s="43"/>
      <c r="B105" s="43" t="s">
        <v>335</v>
      </c>
      <c r="C105" s="43">
        <v>215.6</v>
      </c>
      <c r="D105" s="45" t="s">
        <v>390</v>
      </c>
      <c r="E105" s="45" t="s">
        <v>389</v>
      </c>
    </row>
    <row r="106" spans="1:5" x14ac:dyDescent="0.2">
      <c r="A106" s="43"/>
      <c r="B106" s="43" t="s">
        <v>185</v>
      </c>
      <c r="C106" s="43">
        <v>140</v>
      </c>
      <c r="D106" s="45" t="s">
        <v>392</v>
      </c>
      <c r="E106" s="45" t="s">
        <v>391</v>
      </c>
    </row>
    <row r="107" spans="1:5" x14ac:dyDescent="0.2">
      <c r="A107" s="43"/>
      <c r="B107" s="43" t="s">
        <v>340</v>
      </c>
      <c r="C107" s="43">
        <v>140</v>
      </c>
      <c r="D107" s="45" t="s">
        <v>394</v>
      </c>
      <c r="E107" s="45" t="s">
        <v>393</v>
      </c>
    </row>
    <row r="108" spans="1:5" x14ac:dyDescent="0.2">
      <c r="A108" s="43"/>
      <c r="B108" s="43" t="s">
        <v>343</v>
      </c>
      <c r="C108" s="43">
        <v>292.5</v>
      </c>
      <c r="D108" s="45" t="s">
        <v>396</v>
      </c>
      <c r="E108" s="45" t="s">
        <v>395</v>
      </c>
    </row>
    <row r="109" spans="1:5" x14ac:dyDescent="0.2">
      <c r="A109" s="43"/>
      <c r="B109" s="43" t="s">
        <v>346</v>
      </c>
      <c r="C109" s="43">
        <v>209.25</v>
      </c>
      <c r="D109" s="45" t="s">
        <v>398</v>
      </c>
      <c r="E109" s="45" t="s">
        <v>397</v>
      </c>
    </row>
    <row r="110" spans="1:5" x14ac:dyDescent="0.2">
      <c r="A110" s="43"/>
      <c r="B110" s="43" t="s">
        <v>197</v>
      </c>
      <c r="C110" s="43">
        <v>2831.25</v>
      </c>
      <c r="D110" s="45" t="s">
        <v>413</v>
      </c>
      <c r="E110" s="45" t="s">
        <v>414</v>
      </c>
    </row>
    <row r="111" spans="1:5" x14ac:dyDescent="0.2">
      <c r="A111" s="43" t="s">
        <v>415</v>
      </c>
      <c r="B111" s="43" t="s">
        <v>351</v>
      </c>
      <c r="C111" s="43">
        <v>2831.25</v>
      </c>
      <c r="D111" s="45" t="s">
        <v>416</v>
      </c>
      <c r="E111" s="45" t="s">
        <v>417</v>
      </c>
    </row>
    <row r="112" spans="1:5" x14ac:dyDescent="0.2">
      <c r="A112" s="43"/>
      <c r="B112" s="43" t="s">
        <v>418</v>
      </c>
      <c r="C112" s="43">
        <v>132.25</v>
      </c>
      <c r="D112" s="45" t="s">
        <v>419</v>
      </c>
      <c r="E112" s="45" t="s">
        <v>420</v>
      </c>
    </row>
    <row r="113" spans="1:5" x14ac:dyDescent="0.2">
      <c r="A113" s="43"/>
      <c r="B113" s="43" t="s">
        <v>168</v>
      </c>
      <c r="C113" s="43">
        <v>62.79</v>
      </c>
      <c r="D113" s="45" t="s">
        <v>421</v>
      </c>
      <c r="E113" s="45" t="s">
        <v>422</v>
      </c>
    </row>
    <row r="114" spans="1:5" x14ac:dyDescent="0.2">
      <c r="A114" s="43"/>
      <c r="B114" s="43" t="s">
        <v>423</v>
      </c>
      <c r="C114" s="43">
        <v>89.584999999999994</v>
      </c>
      <c r="D114" s="45" t="s">
        <v>424</v>
      </c>
      <c r="E114" s="45" t="s">
        <v>425</v>
      </c>
    </row>
    <row r="115" spans="1:5" x14ac:dyDescent="0.2">
      <c r="A115" s="43"/>
      <c r="B115" s="43" t="s">
        <v>426</v>
      </c>
      <c r="C115" s="43">
        <v>75.900000000000006</v>
      </c>
      <c r="D115" s="45" t="s">
        <v>427</v>
      </c>
      <c r="E115" s="45" t="s">
        <v>428</v>
      </c>
    </row>
    <row r="116" spans="1:5" x14ac:dyDescent="0.2">
      <c r="A116" s="43"/>
      <c r="B116" s="43" t="s">
        <v>429</v>
      </c>
      <c r="C116" s="43">
        <v>61.271999999999998</v>
      </c>
      <c r="D116" s="45" t="s">
        <v>430</v>
      </c>
      <c r="E116" s="45" t="s">
        <v>431</v>
      </c>
    </row>
    <row r="117" spans="1:5" x14ac:dyDescent="0.2">
      <c r="A117" s="43"/>
      <c r="B117" s="43" t="s">
        <v>186</v>
      </c>
      <c r="C117" s="43">
        <v>49.588000000000001</v>
      </c>
      <c r="D117" s="45" t="s">
        <v>432</v>
      </c>
      <c r="E117" s="45" t="s">
        <v>433</v>
      </c>
    </row>
    <row r="118" spans="1:5" x14ac:dyDescent="0.2">
      <c r="A118" s="43"/>
      <c r="B118" s="43" t="s">
        <v>434</v>
      </c>
      <c r="C118" s="43">
        <v>32.200000000000003</v>
      </c>
      <c r="D118" s="45" t="s">
        <v>435</v>
      </c>
      <c r="E118" s="45" t="s">
        <v>436</v>
      </c>
    </row>
    <row r="119" spans="1:5" x14ac:dyDescent="0.2">
      <c r="A119" s="43"/>
      <c r="B119" s="43" t="s">
        <v>437</v>
      </c>
      <c r="C119" s="43">
        <v>32.200000000000003</v>
      </c>
      <c r="D119" s="45" t="s">
        <v>438</v>
      </c>
      <c r="E119" s="45" t="s">
        <v>439</v>
      </c>
    </row>
    <row r="120" spans="1:5" x14ac:dyDescent="0.2">
      <c r="A120" s="43"/>
      <c r="B120" s="43" t="s">
        <v>440</v>
      </c>
      <c r="C120" s="43">
        <v>67.275000000000006</v>
      </c>
      <c r="D120" s="45" t="s">
        <v>441</v>
      </c>
      <c r="E120" s="45" t="s">
        <v>442</v>
      </c>
    </row>
    <row r="121" spans="1:5" x14ac:dyDescent="0.2">
      <c r="A121" s="43"/>
      <c r="B121" s="43" t="s">
        <v>198</v>
      </c>
      <c r="C121" s="43">
        <v>48.127499999999998</v>
      </c>
      <c r="D121" s="45" t="s">
        <v>443</v>
      </c>
      <c r="E121" s="45" t="s">
        <v>444</v>
      </c>
    </row>
    <row r="122" spans="1:5" x14ac:dyDescent="0.2">
      <c r="A122" s="43"/>
      <c r="B122" s="43" t="s">
        <v>445</v>
      </c>
      <c r="C122" s="43">
        <v>57.5</v>
      </c>
      <c r="D122" s="45" t="s">
        <v>446</v>
      </c>
      <c r="E122" s="45" t="s">
        <v>447</v>
      </c>
    </row>
    <row r="123" spans="1:5" x14ac:dyDescent="0.2">
      <c r="A123" s="43"/>
      <c r="B123" s="43" t="s">
        <v>448</v>
      </c>
      <c r="C123" s="43">
        <v>27.3</v>
      </c>
      <c r="D123" s="45" t="s">
        <v>449</v>
      </c>
      <c r="E123" s="45" t="s">
        <v>450</v>
      </c>
    </row>
    <row r="124" spans="1:5" x14ac:dyDescent="0.2">
      <c r="A124" s="43"/>
      <c r="B124" s="43" t="s">
        <v>451</v>
      </c>
      <c r="C124" s="43">
        <v>38.950000000000003</v>
      </c>
      <c r="D124" s="45" t="s">
        <v>452</v>
      </c>
      <c r="E124" s="45" t="s">
        <v>453</v>
      </c>
    </row>
    <row r="125" spans="1:5" x14ac:dyDescent="0.2">
      <c r="A125" s="43"/>
      <c r="B125" s="43" t="s">
        <v>454</v>
      </c>
      <c r="C125" s="43">
        <v>33</v>
      </c>
      <c r="D125" s="45" t="s">
        <v>455</v>
      </c>
      <c r="E125" s="45" t="s">
        <v>456</v>
      </c>
    </row>
    <row r="126" spans="1:5" x14ac:dyDescent="0.2">
      <c r="A126" s="43"/>
      <c r="B126" s="43" t="s">
        <v>457</v>
      </c>
      <c r="C126" s="43">
        <v>26.64</v>
      </c>
      <c r="D126" s="45" t="s">
        <v>458</v>
      </c>
      <c r="E126" s="45" t="s">
        <v>459</v>
      </c>
    </row>
    <row r="127" spans="1:5" x14ac:dyDescent="0.2">
      <c r="A127" s="43"/>
      <c r="B127" s="43" t="s">
        <v>460</v>
      </c>
      <c r="C127" s="43">
        <v>21.56</v>
      </c>
      <c r="D127" s="45" t="s">
        <v>461</v>
      </c>
      <c r="E127" s="45" t="s">
        <v>462</v>
      </c>
    </row>
    <row r="128" spans="1:5" x14ac:dyDescent="0.2">
      <c r="A128" s="43"/>
      <c r="B128" s="43" t="s">
        <v>463</v>
      </c>
      <c r="C128" s="43">
        <v>14</v>
      </c>
      <c r="D128" s="45" t="s">
        <v>464</v>
      </c>
      <c r="E128" s="45" t="s">
        <v>465</v>
      </c>
    </row>
    <row r="129" spans="1:5" x14ac:dyDescent="0.2">
      <c r="A129" s="43"/>
      <c r="B129" s="43" t="s">
        <v>466</v>
      </c>
      <c r="C129" s="43">
        <v>14</v>
      </c>
      <c r="D129" s="45" t="s">
        <v>467</v>
      </c>
      <c r="E129" s="45" t="s">
        <v>468</v>
      </c>
    </row>
    <row r="130" spans="1:5" x14ac:dyDescent="0.2">
      <c r="A130" s="43"/>
      <c r="B130" s="43" t="s">
        <v>469</v>
      </c>
      <c r="C130" s="43">
        <v>29.25</v>
      </c>
      <c r="D130" s="45" t="s">
        <v>470</v>
      </c>
      <c r="E130" s="45" t="s">
        <v>471</v>
      </c>
    </row>
    <row r="131" spans="1:5" x14ac:dyDescent="0.2">
      <c r="A131" s="43"/>
      <c r="B131" s="43" t="s">
        <v>472</v>
      </c>
      <c r="C131" s="43">
        <v>20.925000000000001</v>
      </c>
      <c r="D131" s="45" t="s">
        <v>473</v>
      </c>
      <c r="E131" s="45" t="s">
        <v>474</v>
      </c>
    </row>
    <row r="132" spans="1:5" x14ac:dyDescent="0.2">
      <c r="A132" s="43"/>
      <c r="B132" s="43" t="s">
        <v>475</v>
      </c>
      <c r="C132" s="43">
        <v>189.75</v>
      </c>
      <c r="D132" s="45" t="s">
        <v>476</v>
      </c>
      <c r="E132" s="45" t="s">
        <v>477</v>
      </c>
    </row>
    <row r="133" spans="1:5" x14ac:dyDescent="0.2">
      <c r="A133" s="43"/>
      <c r="B133" s="43" t="s">
        <v>173</v>
      </c>
      <c r="C133" s="43">
        <v>90.09</v>
      </c>
      <c r="D133" s="45" t="s">
        <v>478</v>
      </c>
      <c r="E133" s="45" t="s">
        <v>479</v>
      </c>
    </row>
    <row r="134" spans="1:5" x14ac:dyDescent="0.2">
      <c r="A134" s="43"/>
      <c r="B134" s="43" t="s">
        <v>480</v>
      </c>
      <c r="C134" s="43">
        <v>128.535</v>
      </c>
      <c r="D134" s="45" t="s">
        <v>481</v>
      </c>
      <c r="E134" s="45" t="s">
        <v>482</v>
      </c>
    </row>
    <row r="135" spans="1:5" x14ac:dyDescent="0.2">
      <c r="A135" s="43"/>
      <c r="B135" s="43" t="s">
        <v>483</v>
      </c>
      <c r="C135" s="43">
        <v>108.9</v>
      </c>
      <c r="D135" s="45" t="s">
        <v>484</v>
      </c>
      <c r="E135" s="45" t="s">
        <v>485</v>
      </c>
    </row>
    <row r="136" spans="1:5" x14ac:dyDescent="0.2">
      <c r="A136" s="43"/>
      <c r="B136" s="43" t="s">
        <v>486</v>
      </c>
      <c r="C136" s="43">
        <v>87.912000000000006</v>
      </c>
      <c r="D136" s="45" t="s">
        <v>487</v>
      </c>
      <c r="E136" s="45" t="s">
        <v>488</v>
      </c>
    </row>
    <row r="137" spans="1:5" x14ac:dyDescent="0.2">
      <c r="A137" s="43"/>
      <c r="B137" s="43" t="s">
        <v>188</v>
      </c>
      <c r="C137" s="43">
        <v>71.147999999999996</v>
      </c>
      <c r="D137" s="45" t="s">
        <v>489</v>
      </c>
      <c r="E137" s="45" t="s">
        <v>490</v>
      </c>
    </row>
    <row r="138" spans="1:5" x14ac:dyDescent="0.2">
      <c r="A138" s="43"/>
      <c r="B138" s="43" t="s">
        <v>491</v>
      </c>
      <c r="C138" s="43">
        <v>46.2</v>
      </c>
      <c r="D138" s="45" t="s">
        <v>492</v>
      </c>
      <c r="E138" s="45" t="s">
        <v>493</v>
      </c>
    </row>
    <row r="139" spans="1:5" x14ac:dyDescent="0.2">
      <c r="A139" s="43"/>
      <c r="B139" s="43" t="s">
        <v>494</v>
      </c>
      <c r="C139" s="43">
        <v>46.2</v>
      </c>
      <c r="D139" s="45" t="s">
        <v>495</v>
      </c>
      <c r="E139" s="45" t="s">
        <v>496</v>
      </c>
    </row>
    <row r="140" spans="1:5" x14ac:dyDescent="0.2">
      <c r="A140" s="43"/>
      <c r="B140" s="43" t="s">
        <v>497</v>
      </c>
      <c r="C140" s="43">
        <v>96.525000000000006</v>
      </c>
      <c r="D140" s="45" t="s">
        <v>498</v>
      </c>
      <c r="E140" s="45" t="s">
        <v>499</v>
      </c>
    </row>
    <row r="141" spans="1:5" x14ac:dyDescent="0.2">
      <c r="A141" s="43"/>
      <c r="B141" s="43" t="s">
        <v>201</v>
      </c>
      <c r="C141" s="43">
        <v>69.052499999999995</v>
      </c>
      <c r="D141" s="45" t="s">
        <v>500</v>
      </c>
      <c r="E141" s="45" t="s">
        <v>501</v>
      </c>
    </row>
    <row r="142" spans="1:5" x14ac:dyDescent="0.2">
      <c r="A142" s="43"/>
      <c r="B142" s="43" t="s">
        <v>502</v>
      </c>
      <c r="C142" s="43">
        <v>385.25</v>
      </c>
      <c r="D142" s="45" t="s">
        <v>503</v>
      </c>
      <c r="E142" s="45"/>
    </row>
    <row r="143" spans="1:5" x14ac:dyDescent="0.2">
      <c r="A143" s="43"/>
      <c r="B143" s="43" t="s">
        <v>174</v>
      </c>
      <c r="C143" s="43">
        <v>182.91</v>
      </c>
      <c r="D143" s="45" t="s">
        <v>504</v>
      </c>
      <c r="E143" s="45"/>
    </row>
    <row r="144" spans="1:5" x14ac:dyDescent="0.2">
      <c r="A144" s="43"/>
      <c r="B144" s="43" t="s">
        <v>505</v>
      </c>
      <c r="C144" s="43">
        <v>260.96499999999997</v>
      </c>
      <c r="D144" s="45" t="s">
        <v>506</v>
      </c>
      <c r="E144" s="45"/>
    </row>
    <row r="145" spans="1:5" x14ac:dyDescent="0.2">
      <c r="A145" s="43"/>
      <c r="B145" s="43" t="s">
        <v>507</v>
      </c>
      <c r="C145" s="43">
        <v>221.1</v>
      </c>
      <c r="D145" s="45" t="s">
        <v>508</v>
      </c>
      <c r="E145" s="45"/>
    </row>
    <row r="146" spans="1:5" x14ac:dyDescent="0.2">
      <c r="A146" s="43"/>
      <c r="B146" s="43" t="s">
        <v>509</v>
      </c>
      <c r="C146" s="43">
        <v>178.488</v>
      </c>
      <c r="D146" s="45" t="s">
        <v>510</v>
      </c>
      <c r="E146" s="45"/>
    </row>
    <row r="147" spans="1:5" x14ac:dyDescent="0.2">
      <c r="A147" s="43"/>
      <c r="B147" s="43" t="s">
        <v>189</v>
      </c>
      <c r="C147" s="43">
        <v>144.452</v>
      </c>
      <c r="D147" s="45" t="s">
        <v>511</v>
      </c>
      <c r="E147" s="45"/>
    </row>
    <row r="148" spans="1:5" x14ac:dyDescent="0.2">
      <c r="A148" s="43"/>
      <c r="B148" s="43" t="s">
        <v>512</v>
      </c>
      <c r="C148" s="43">
        <v>93.8</v>
      </c>
      <c r="D148" s="45" t="s">
        <v>513</v>
      </c>
      <c r="E148" s="45"/>
    </row>
    <row r="149" spans="1:5" x14ac:dyDescent="0.2">
      <c r="A149" s="43"/>
      <c r="B149" s="43" t="s">
        <v>514</v>
      </c>
      <c r="C149" s="43">
        <v>93.8</v>
      </c>
      <c r="D149" s="45" t="s">
        <v>515</v>
      </c>
      <c r="E149" s="45"/>
    </row>
    <row r="150" spans="1:5" x14ac:dyDescent="0.2">
      <c r="A150" s="43"/>
      <c r="B150" s="43" t="s">
        <v>516</v>
      </c>
      <c r="C150" s="43">
        <v>195.97499999999999</v>
      </c>
      <c r="D150" s="45" t="s">
        <v>517</v>
      </c>
      <c r="E150" s="45"/>
    </row>
    <row r="151" spans="1:5" x14ac:dyDescent="0.2">
      <c r="A151" s="43"/>
      <c r="B151" s="43" t="s">
        <v>202</v>
      </c>
      <c r="C151" s="43">
        <v>140.19749999999999</v>
      </c>
      <c r="D151" s="45" t="s">
        <v>518</v>
      </c>
      <c r="E151" s="45"/>
    </row>
    <row r="152" spans="1:5" x14ac:dyDescent="0.2">
      <c r="A152" s="43"/>
      <c r="B152" s="43" t="s">
        <v>519</v>
      </c>
      <c r="C152" s="43">
        <v>1896.9375</v>
      </c>
      <c r="D152" s="45" t="s">
        <v>520</v>
      </c>
      <c r="E152" s="45" t="s">
        <v>521</v>
      </c>
    </row>
    <row r="153" spans="1:5" x14ac:dyDescent="0.2">
      <c r="A153" s="43" t="s">
        <v>522</v>
      </c>
      <c r="B153" s="43" t="s">
        <v>269</v>
      </c>
      <c r="C153" s="43">
        <v>25</v>
      </c>
      <c r="D153" s="45" t="s">
        <v>524</v>
      </c>
      <c r="E153" s="43"/>
    </row>
    <row r="154" spans="1:5" x14ac:dyDescent="0.2">
      <c r="A154" s="43"/>
      <c r="B154" s="43" t="s">
        <v>272</v>
      </c>
      <c r="C154" s="43">
        <v>12.5</v>
      </c>
      <c r="D154" s="45" t="s">
        <v>526</v>
      </c>
      <c r="E154" s="43"/>
    </row>
    <row r="155" spans="1:5" x14ac:dyDescent="0.2">
      <c r="A155" s="43"/>
      <c r="B155" s="43" t="s">
        <v>183</v>
      </c>
      <c r="C155" s="43">
        <v>8.3332999999999995</v>
      </c>
      <c r="D155" s="45" t="s">
        <v>527</v>
      </c>
      <c r="E155" s="43"/>
    </row>
    <row r="156" spans="1:5" x14ac:dyDescent="0.2">
      <c r="A156" s="43"/>
      <c r="B156" s="43" t="s">
        <v>277</v>
      </c>
      <c r="C156" s="43">
        <v>6.25</v>
      </c>
      <c r="D156" s="45" t="s">
        <v>528</v>
      </c>
      <c r="E156" s="43"/>
    </row>
    <row r="157" spans="1:5" x14ac:dyDescent="0.2">
      <c r="A157" s="43"/>
      <c r="B157" s="43" t="s">
        <v>280</v>
      </c>
      <c r="C157" s="43">
        <v>5</v>
      </c>
      <c r="D157" s="45" t="s">
        <v>529</v>
      </c>
      <c r="E157" s="43"/>
    </row>
    <row r="158" spans="1:5" x14ac:dyDescent="0.2">
      <c r="A158" s="43"/>
      <c r="B158" s="43" t="s">
        <v>283</v>
      </c>
      <c r="C158" s="43">
        <v>8.3332999999999995</v>
      </c>
      <c r="D158" s="45" t="s">
        <v>530</v>
      </c>
      <c r="E158" s="43"/>
    </row>
    <row r="159" spans="1:5" x14ac:dyDescent="0.2">
      <c r="A159" s="43"/>
      <c r="B159" s="43" t="s">
        <v>194</v>
      </c>
      <c r="C159" s="43">
        <v>7.1429</v>
      </c>
      <c r="D159" s="45" t="s">
        <v>531</v>
      </c>
      <c r="E159" s="43"/>
    </row>
    <row r="160" spans="1:5" x14ac:dyDescent="0.2">
      <c r="A160" s="43"/>
      <c r="B160" s="43" t="s">
        <v>288</v>
      </c>
      <c r="C160" s="43">
        <v>6.25</v>
      </c>
      <c r="D160" s="45" t="s">
        <v>532</v>
      </c>
      <c r="E160" s="43"/>
    </row>
    <row r="161" spans="1:7" x14ac:dyDescent="0.2">
      <c r="A161" s="43"/>
      <c r="B161" s="43" t="s">
        <v>374</v>
      </c>
      <c r="C161" s="43">
        <v>5.5556000000000001</v>
      </c>
      <c r="D161" s="45" t="s">
        <v>533</v>
      </c>
      <c r="E161" s="43"/>
    </row>
    <row r="162" spans="1:7" x14ac:dyDescent="0.2">
      <c r="A162" s="43"/>
      <c r="B162" s="43" t="s">
        <v>376</v>
      </c>
      <c r="C162" s="43">
        <v>5</v>
      </c>
      <c r="D162" s="45" t="s">
        <v>534</v>
      </c>
      <c r="E162" s="43"/>
    </row>
    <row r="163" spans="1:7" x14ac:dyDescent="0.2">
      <c r="A163" s="43"/>
      <c r="B163" s="43" t="s">
        <v>209</v>
      </c>
      <c r="C163" s="43">
        <v>6.8182</v>
      </c>
      <c r="D163" s="45" t="s">
        <v>535</v>
      </c>
      <c r="E163" s="43"/>
    </row>
    <row r="164" spans="1:7" x14ac:dyDescent="0.2">
      <c r="A164" s="43"/>
      <c r="B164" s="43" t="s">
        <v>536</v>
      </c>
      <c r="C164" s="43">
        <v>6.25</v>
      </c>
      <c r="D164" s="45" t="s">
        <v>537</v>
      </c>
      <c r="E164" s="43"/>
    </row>
    <row r="165" spans="1:7" x14ac:dyDescent="0.2">
      <c r="A165" s="43"/>
      <c r="B165" s="43" t="s">
        <v>538</v>
      </c>
      <c r="C165" s="43">
        <v>5.7691999999999997</v>
      </c>
      <c r="D165" s="45" t="s">
        <v>539</v>
      </c>
      <c r="E165" s="43"/>
    </row>
    <row r="166" spans="1:7" x14ac:dyDescent="0.2">
      <c r="A166" s="43"/>
      <c r="B166" s="43" t="s">
        <v>540</v>
      </c>
      <c r="C166" s="43">
        <v>5</v>
      </c>
      <c r="D166" s="45" t="s">
        <v>541</v>
      </c>
      <c r="E166" s="45" t="s">
        <v>542</v>
      </c>
      <c r="F166" s="45" t="s">
        <v>685</v>
      </c>
      <c r="G166" s="45" t="s">
        <v>686</v>
      </c>
    </row>
    <row r="167" spans="1:7" x14ac:dyDescent="0.2">
      <c r="A167" s="43"/>
      <c r="B167" s="43" t="s">
        <v>543</v>
      </c>
      <c r="C167" s="43">
        <v>25</v>
      </c>
      <c r="D167" s="45" t="s">
        <v>544</v>
      </c>
      <c r="E167" s="45" t="s">
        <v>545</v>
      </c>
      <c r="F167" s="45" t="s">
        <v>687</v>
      </c>
    </row>
    <row r="168" spans="1:7" x14ac:dyDescent="0.2">
      <c r="A168" s="43" t="s">
        <v>546</v>
      </c>
      <c r="B168" s="43" t="s">
        <v>161</v>
      </c>
      <c r="C168" s="43">
        <v>7.4109756097561004</v>
      </c>
      <c r="D168" s="45" t="s">
        <v>547</v>
      </c>
      <c r="E168" s="43"/>
    </row>
    <row r="169" spans="1:7" x14ac:dyDescent="0.2">
      <c r="A169" s="43"/>
      <c r="B169" s="43" t="s">
        <v>261</v>
      </c>
      <c r="C169" s="43">
        <v>44.971576227390202</v>
      </c>
      <c r="D169" s="45" t="s">
        <v>548</v>
      </c>
      <c r="E169" s="43"/>
    </row>
    <row r="170" spans="1:7" x14ac:dyDescent="0.2">
      <c r="A170" s="43"/>
      <c r="B170" s="43" t="s">
        <v>292</v>
      </c>
      <c r="C170" s="43">
        <v>270.94</v>
      </c>
      <c r="D170" s="45" t="s">
        <v>549</v>
      </c>
      <c r="E170" s="45" t="s">
        <v>550</v>
      </c>
    </row>
    <row r="171" spans="1:7" x14ac:dyDescent="0.2">
      <c r="A171" s="43"/>
      <c r="B171" s="43" t="s">
        <v>167</v>
      </c>
      <c r="C171" s="43">
        <v>5.67761904761905</v>
      </c>
      <c r="D171" s="45" t="s">
        <v>551</v>
      </c>
      <c r="E171" s="43"/>
    </row>
    <row r="172" spans="1:7" x14ac:dyDescent="0.2">
      <c r="A172" s="43" t="s">
        <v>552</v>
      </c>
      <c r="B172" s="43" t="s">
        <v>553</v>
      </c>
      <c r="C172" s="43">
        <v>52.142857142857146</v>
      </c>
      <c r="D172" s="45" t="s">
        <v>554</v>
      </c>
      <c r="E172" s="45" t="s">
        <v>555</v>
      </c>
    </row>
    <row r="173" spans="1:7" x14ac:dyDescent="0.2">
      <c r="A173" s="43"/>
      <c r="B173" s="43" t="s">
        <v>556</v>
      </c>
      <c r="C173" s="43">
        <v>83.571428571428598</v>
      </c>
      <c r="D173" s="45" t="s">
        <v>557</v>
      </c>
      <c r="E173" s="45" t="s">
        <v>558</v>
      </c>
    </row>
    <row r="174" spans="1:7" x14ac:dyDescent="0.2">
      <c r="A174" s="43"/>
      <c r="B174" s="43" t="s">
        <v>559</v>
      </c>
      <c r="C174" s="43">
        <v>81</v>
      </c>
      <c r="D174" s="45" t="s">
        <v>560</v>
      </c>
      <c r="E174" s="45" t="s">
        <v>561</v>
      </c>
    </row>
    <row r="175" spans="1:7" x14ac:dyDescent="0.2">
      <c r="A175" s="43"/>
      <c r="B175" s="43" t="s">
        <v>562</v>
      </c>
      <c r="C175" s="43">
        <v>44.571428571428569</v>
      </c>
      <c r="D175" s="45" t="s">
        <v>563</v>
      </c>
      <c r="E175" s="45" t="s">
        <v>564</v>
      </c>
    </row>
    <row r="176" spans="1:7" x14ac:dyDescent="0.2">
      <c r="A176" s="43"/>
      <c r="B176" s="43" t="s">
        <v>565</v>
      </c>
      <c r="C176" s="43">
        <v>64.142857142857139</v>
      </c>
      <c r="D176" s="45" t="s">
        <v>566</v>
      </c>
      <c r="E176" s="45" t="s">
        <v>567</v>
      </c>
    </row>
    <row r="177" spans="1:5" x14ac:dyDescent="0.2">
      <c r="A177" s="43"/>
      <c r="B177" s="43" t="s">
        <v>568</v>
      </c>
      <c r="C177" s="43">
        <v>66.428571428571431</v>
      </c>
      <c r="D177" s="45" t="s">
        <v>569</v>
      </c>
      <c r="E177" s="45" t="s">
        <v>570</v>
      </c>
    </row>
    <row r="178" spans="1:5" x14ac:dyDescent="0.2">
      <c r="A178" s="43"/>
      <c r="B178" s="43" t="s">
        <v>571</v>
      </c>
      <c r="C178" s="43">
        <v>57</v>
      </c>
      <c r="D178" s="45" t="s">
        <v>572</v>
      </c>
      <c r="E178" s="45" t="s">
        <v>573</v>
      </c>
    </row>
    <row r="179" spans="1:5" x14ac:dyDescent="0.2">
      <c r="B179" s="43" t="s">
        <v>574</v>
      </c>
      <c r="C179">
        <v>67.428571428571431</v>
      </c>
      <c r="D179" s="52" t="s">
        <v>575</v>
      </c>
      <c r="E179" s="52" t="s">
        <v>576</v>
      </c>
    </row>
    <row r="180" spans="1:5" x14ac:dyDescent="0.2">
      <c r="B180" s="43" t="s">
        <v>577</v>
      </c>
      <c r="C180">
        <v>65.285714285714292</v>
      </c>
      <c r="D180" s="52" t="s">
        <v>578</v>
      </c>
      <c r="E180" s="52" t="s">
        <v>579</v>
      </c>
    </row>
    <row r="181" spans="1:5" x14ac:dyDescent="0.2">
      <c r="B181" s="43" t="s">
        <v>580</v>
      </c>
      <c r="C181">
        <v>62</v>
      </c>
      <c r="D181" s="52" t="s">
        <v>581</v>
      </c>
      <c r="E181" s="52" t="s">
        <v>582</v>
      </c>
    </row>
    <row r="182" spans="1:5" x14ac:dyDescent="0.2">
      <c r="B182" s="43" t="s">
        <v>583</v>
      </c>
      <c r="C182">
        <v>43.714285714285715</v>
      </c>
      <c r="D182" s="52" t="s">
        <v>584</v>
      </c>
      <c r="E182" s="52" t="s">
        <v>585</v>
      </c>
    </row>
    <row r="183" spans="1:5" x14ac:dyDescent="0.2">
      <c r="B183" s="43" t="s">
        <v>586</v>
      </c>
      <c r="C183">
        <v>38.285714285714285</v>
      </c>
      <c r="D183" s="52" t="s">
        <v>587</v>
      </c>
      <c r="E183" s="52" t="s">
        <v>588</v>
      </c>
    </row>
    <row r="184" spans="1:5" x14ac:dyDescent="0.2">
      <c r="B184" s="43" t="s">
        <v>589</v>
      </c>
      <c r="C184">
        <v>87.142857142857139</v>
      </c>
      <c r="D184" s="52" t="s">
        <v>590</v>
      </c>
      <c r="E184" s="52" t="s">
        <v>591</v>
      </c>
    </row>
    <row r="185" spans="1:5" x14ac:dyDescent="0.2">
      <c r="B185" s="43" t="s">
        <v>376</v>
      </c>
      <c r="C185">
        <v>62.538461538461497</v>
      </c>
      <c r="D185" s="52" t="s">
        <v>592</v>
      </c>
      <c r="E185" s="52" t="s">
        <v>593</v>
      </c>
    </row>
    <row r="186" spans="1:5" x14ac:dyDescent="0.2">
      <c r="B186" s="43" t="s">
        <v>319</v>
      </c>
      <c r="C186">
        <v>59.846153846153797</v>
      </c>
      <c r="D186" s="52" t="s">
        <v>594</v>
      </c>
      <c r="E186" s="52" t="s">
        <v>595</v>
      </c>
    </row>
    <row r="187" spans="1:5" x14ac:dyDescent="0.2">
      <c r="B187" s="43" t="s">
        <v>258</v>
      </c>
      <c r="C187">
        <v>64.461538461538495</v>
      </c>
      <c r="D187" s="52" t="s">
        <v>596</v>
      </c>
      <c r="E187" s="52" t="s">
        <v>597</v>
      </c>
    </row>
    <row r="188" spans="1:5" x14ac:dyDescent="0.2">
      <c r="B188" s="43" t="s">
        <v>598</v>
      </c>
      <c r="C188">
        <v>65.769230769230802</v>
      </c>
      <c r="D188" s="52" t="s">
        <v>599</v>
      </c>
      <c r="E188" s="52" t="s">
        <v>600</v>
      </c>
    </row>
    <row r="189" spans="1:5" x14ac:dyDescent="0.2">
      <c r="B189" s="43" t="s">
        <v>601</v>
      </c>
      <c r="C189">
        <v>68.153846153846203</v>
      </c>
      <c r="D189" s="52" t="s">
        <v>602</v>
      </c>
      <c r="E189" s="52" t="s">
        <v>603</v>
      </c>
    </row>
    <row r="190" spans="1:5" x14ac:dyDescent="0.2">
      <c r="B190" s="43" t="s">
        <v>604</v>
      </c>
      <c r="C190">
        <v>60.692307692307701</v>
      </c>
      <c r="D190" s="52" t="s">
        <v>605</v>
      </c>
      <c r="E190" s="52" t="s">
        <v>606</v>
      </c>
    </row>
    <row r="191" spans="1:5" x14ac:dyDescent="0.2">
      <c r="B191" s="43" t="s">
        <v>607</v>
      </c>
      <c r="C191">
        <v>56.153846153846203</v>
      </c>
      <c r="D191" s="52" t="s">
        <v>608</v>
      </c>
      <c r="E191" s="52" t="s">
        <v>609</v>
      </c>
    </row>
    <row r="192" spans="1:5" x14ac:dyDescent="0.2">
      <c r="B192" s="43" t="s">
        <v>610</v>
      </c>
      <c r="C192">
        <v>62.516483516483497</v>
      </c>
      <c r="D192" s="52" t="s">
        <v>611</v>
      </c>
      <c r="E192" s="52" t="s">
        <v>612</v>
      </c>
    </row>
    <row r="193" spans="2:5" x14ac:dyDescent="0.2">
      <c r="B193" s="43" t="s">
        <v>209</v>
      </c>
      <c r="C193">
        <v>94</v>
      </c>
      <c r="D193" s="52" t="s">
        <v>613</v>
      </c>
      <c r="E193" s="52" t="s">
        <v>614</v>
      </c>
    </row>
    <row r="194" spans="2:5" x14ac:dyDescent="0.2">
      <c r="B194" s="43" t="s">
        <v>615</v>
      </c>
      <c r="C194">
        <v>90</v>
      </c>
      <c r="D194" s="52" t="s">
        <v>616</v>
      </c>
      <c r="E194" s="52" t="s">
        <v>617</v>
      </c>
    </row>
    <row r="195" spans="2:5" x14ac:dyDescent="0.2">
      <c r="B195" s="43" t="s">
        <v>211</v>
      </c>
      <c r="C195">
        <v>90</v>
      </c>
      <c r="D195" s="52" t="s">
        <v>618</v>
      </c>
      <c r="E195" s="52" t="s">
        <v>619</v>
      </c>
    </row>
    <row r="196" spans="2:5" x14ac:dyDescent="0.2">
      <c r="B196" s="43" t="s">
        <v>212</v>
      </c>
      <c r="C196">
        <v>88</v>
      </c>
      <c r="D196" s="52" t="s">
        <v>688</v>
      </c>
      <c r="E196" s="52" t="s">
        <v>691</v>
      </c>
    </row>
    <row r="197" spans="2:5" x14ac:dyDescent="0.2">
      <c r="B197" s="43" t="s">
        <v>620</v>
      </c>
      <c r="C197">
        <v>89</v>
      </c>
      <c r="D197" s="52" t="s">
        <v>689</v>
      </c>
      <c r="E197" s="52" t="s">
        <v>690</v>
      </c>
    </row>
    <row r="198" spans="2:5" x14ac:dyDescent="0.2">
      <c r="B198" s="43" t="s">
        <v>214</v>
      </c>
      <c r="C198">
        <v>84</v>
      </c>
      <c r="D198" s="52" t="s">
        <v>621</v>
      </c>
      <c r="E198" s="52" t="s">
        <v>622</v>
      </c>
    </row>
    <row r="199" spans="2:5" x14ac:dyDescent="0.2">
      <c r="B199" s="43" t="s">
        <v>215</v>
      </c>
      <c r="C199">
        <v>82</v>
      </c>
      <c r="D199" s="52" t="s">
        <v>623</v>
      </c>
      <c r="E199" s="52" t="s">
        <v>624</v>
      </c>
    </row>
    <row r="200" spans="2:5" x14ac:dyDescent="0.2">
      <c r="B200" s="43" t="s">
        <v>625</v>
      </c>
      <c r="C200">
        <v>87.142857142857096</v>
      </c>
      <c r="D200" s="52" t="s">
        <v>626</v>
      </c>
      <c r="E200" s="52" t="s">
        <v>627</v>
      </c>
    </row>
    <row r="201" spans="2:5" x14ac:dyDescent="0.2">
      <c r="B201" s="43" t="s">
        <v>536</v>
      </c>
      <c r="C201">
        <v>39</v>
      </c>
      <c r="D201" s="52" t="s">
        <v>628</v>
      </c>
      <c r="E201" s="52" t="s">
        <v>629</v>
      </c>
    </row>
    <row r="202" spans="2:5" x14ac:dyDescent="0.2">
      <c r="B202" s="43" t="s">
        <v>630</v>
      </c>
      <c r="C202">
        <v>32</v>
      </c>
      <c r="D202" s="52" t="s">
        <v>631</v>
      </c>
      <c r="E202" s="52" t="s">
        <v>632</v>
      </c>
    </row>
    <row r="203" spans="2:5" x14ac:dyDescent="0.2">
      <c r="B203" s="43" t="s">
        <v>409</v>
      </c>
      <c r="C203">
        <v>37</v>
      </c>
      <c r="D203" s="52" t="s">
        <v>633</v>
      </c>
      <c r="E203" s="52" t="s">
        <v>634</v>
      </c>
    </row>
    <row r="204" spans="2:5" x14ac:dyDescent="0.2">
      <c r="B204" s="43" t="s">
        <v>523</v>
      </c>
      <c r="C204">
        <v>43</v>
      </c>
      <c r="D204" s="52" t="s">
        <v>692</v>
      </c>
      <c r="E204" s="52" t="s">
        <v>694</v>
      </c>
    </row>
    <row r="205" spans="2:5" x14ac:dyDescent="0.2">
      <c r="B205" s="43" t="s">
        <v>635</v>
      </c>
      <c r="C205">
        <v>43</v>
      </c>
      <c r="D205" s="52" t="s">
        <v>693</v>
      </c>
      <c r="E205" s="52" t="s">
        <v>695</v>
      </c>
    </row>
    <row r="206" spans="2:5" x14ac:dyDescent="0.2">
      <c r="B206" s="43" t="s">
        <v>636</v>
      </c>
      <c r="C206">
        <v>38</v>
      </c>
      <c r="D206" s="52" t="s">
        <v>637</v>
      </c>
      <c r="E206" s="52" t="s">
        <v>638</v>
      </c>
    </row>
    <row r="207" spans="2:5" x14ac:dyDescent="0.2">
      <c r="B207" s="43" t="s">
        <v>639</v>
      </c>
      <c r="C207">
        <v>32</v>
      </c>
      <c r="D207" s="52" t="s">
        <v>640</v>
      </c>
      <c r="E207" s="52" t="s">
        <v>641</v>
      </c>
    </row>
    <row r="208" spans="2:5" x14ac:dyDescent="0.2">
      <c r="B208" s="43" t="s">
        <v>642</v>
      </c>
      <c r="C208">
        <v>38.285714285714299</v>
      </c>
      <c r="D208" s="52" t="s">
        <v>643</v>
      </c>
      <c r="E208" s="52" t="s">
        <v>644</v>
      </c>
    </row>
    <row r="209" spans="1:14" x14ac:dyDescent="0.2">
      <c r="B209" s="43" t="s">
        <v>538</v>
      </c>
      <c r="C209">
        <v>55</v>
      </c>
      <c r="D209" s="52" t="s">
        <v>645</v>
      </c>
    </row>
    <row r="210" spans="1:14" x14ac:dyDescent="0.2">
      <c r="B210" s="43" t="s">
        <v>646</v>
      </c>
      <c r="C210">
        <v>58</v>
      </c>
      <c r="D210" s="52" t="s">
        <v>647</v>
      </c>
    </row>
    <row r="211" spans="1:14" x14ac:dyDescent="0.2">
      <c r="B211" s="43" t="s">
        <v>648</v>
      </c>
      <c r="C211">
        <v>53</v>
      </c>
      <c r="D211" s="52" t="s">
        <v>649</v>
      </c>
    </row>
    <row r="212" spans="1:14" x14ac:dyDescent="0.2">
      <c r="B212" s="43" t="s">
        <v>525</v>
      </c>
      <c r="C212">
        <v>45</v>
      </c>
      <c r="D212" s="52" t="s">
        <v>650</v>
      </c>
    </row>
    <row r="213" spans="1:14" x14ac:dyDescent="0.2">
      <c r="B213" s="43" t="s">
        <v>293</v>
      </c>
      <c r="C213">
        <v>46</v>
      </c>
      <c r="D213" s="52" t="s">
        <v>651</v>
      </c>
    </row>
    <row r="214" spans="1:14" x14ac:dyDescent="0.2">
      <c r="B214" s="43" t="s">
        <v>220</v>
      </c>
      <c r="C214">
        <v>46</v>
      </c>
      <c r="D214" s="52" t="s">
        <v>652</v>
      </c>
    </row>
    <row r="215" spans="1:14" x14ac:dyDescent="0.2">
      <c r="B215" s="43" t="s">
        <v>221</v>
      </c>
      <c r="C215">
        <v>50</v>
      </c>
      <c r="D215" s="52" t="s">
        <v>653</v>
      </c>
    </row>
    <row r="216" spans="1:14" x14ac:dyDescent="0.2">
      <c r="B216" s="43" t="s">
        <v>654</v>
      </c>
      <c r="C216">
        <v>48.857142857142897</v>
      </c>
      <c r="D216" s="52" t="s">
        <v>655</v>
      </c>
    </row>
    <row r="217" spans="1:14" x14ac:dyDescent="0.2">
      <c r="A217" s="43" t="s">
        <v>656</v>
      </c>
      <c r="B217" s="43" t="s">
        <v>657</v>
      </c>
      <c r="C217" s="43">
        <v>55020</v>
      </c>
      <c r="D217" s="45" t="s">
        <v>675</v>
      </c>
      <c r="E217" s="45" t="s">
        <v>658</v>
      </c>
      <c r="F217" s="43"/>
      <c r="G217" s="43"/>
      <c r="H217" s="43"/>
      <c r="I217" s="49"/>
      <c r="M217" s="47"/>
      <c r="N217" s="46"/>
    </row>
    <row r="218" spans="1:14" x14ac:dyDescent="0.2">
      <c r="A218" s="43"/>
      <c r="B218" s="43" t="s">
        <v>277</v>
      </c>
      <c r="C218" s="43">
        <v>57900</v>
      </c>
      <c r="D218" s="45" t="s">
        <v>676</v>
      </c>
      <c r="E218" s="45" t="s">
        <v>677</v>
      </c>
      <c r="F218" s="45" t="s">
        <v>678</v>
      </c>
      <c r="G218" s="45" t="s">
        <v>679</v>
      </c>
      <c r="H218" s="45" t="s">
        <v>680</v>
      </c>
      <c r="I218" s="45" t="s">
        <v>681</v>
      </c>
      <c r="J218" s="45" t="s">
        <v>659</v>
      </c>
      <c r="M218" s="47"/>
      <c r="N218" s="46"/>
    </row>
    <row r="219" spans="1:14" x14ac:dyDescent="0.2">
      <c r="A219" s="43"/>
      <c r="B219" s="43" t="s">
        <v>660</v>
      </c>
      <c r="C219" s="43">
        <v>2880</v>
      </c>
      <c r="D219" s="45" t="s">
        <v>661</v>
      </c>
      <c r="E219" s="43"/>
      <c r="F219" s="43"/>
      <c r="G219" s="43"/>
      <c r="H219" s="43"/>
      <c r="I219" s="49"/>
      <c r="M219" s="47"/>
      <c r="N219" s="46"/>
    </row>
    <row r="220" spans="1:14" x14ac:dyDescent="0.2">
      <c r="A220" s="43"/>
      <c r="B220" s="43" t="s">
        <v>283</v>
      </c>
      <c r="C220" s="43">
        <v>720</v>
      </c>
      <c r="D220" s="45" t="s">
        <v>662</v>
      </c>
      <c r="E220" s="43"/>
      <c r="F220" s="43"/>
      <c r="G220" s="43"/>
      <c r="H220" s="43"/>
      <c r="I220" s="49"/>
      <c r="M220" s="47"/>
      <c r="N220" s="46"/>
    </row>
    <row r="221" spans="1:14" x14ac:dyDescent="0.2">
      <c r="A221" s="43" t="s">
        <v>663</v>
      </c>
      <c r="B221" s="43" t="s">
        <v>664</v>
      </c>
      <c r="C221" s="43">
        <v>991.5</v>
      </c>
      <c r="D221" s="45" t="s">
        <v>665</v>
      </c>
      <c r="E221" s="45" t="s">
        <v>666</v>
      </c>
      <c r="F221" s="43"/>
      <c r="G221" s="43"/>
      <c r="H221" s="43"/>
      <c r="I221" s="49"/>
      <c r="M221" s="47"/>
      <c r="N221" s="46"/>
    </row>
    <row r="222" spans="1:14" x14ac:dyDescent="0.2">
      <c r="A222" s="43"/>
      <c r="B222" s="43" t="s">
        <v>288</v>
      </c>
      <c r="C222" s="43">
        <v>1460</v>
      </c>
      <c r="D222" s="45" t="s">
        <v>678</v>
      </c>
      <c r="E222" s="45" t="s">
        <v>679</v>
      </c>
      <c r="F222" s="45" t="s">
        <v>680</v>
      </c>
      <c r="G222" s="45" t="s">
        <v>681</v>
      </c>
      <c r="H222" s="45" t="s">
        <v>659</v>
      </c>
      <c r="I222" s="45" t="s">
        <v>682</v>
      </c>
      <c r="J222" s="45" t="s">
        <v>683</v>
      </c>
      <c r="K222" s="45" t="s">
        <v>684</v>
      </c>
      <c r="L222" s="45" t="s">
        <v>667</v>
      </c>
      <c r="M222" s="47"/>
      <c r="N222" s="46"/>
    </row>
    <row r="223" spans="1:14" x14ac:dyDescent="0.2">
      <c r="A223" s="43"/>
      <c r="B223" s="43" t="s">
        <v>668</v>
      </c>
      <c r="C223" s="43">
        <v>468.5</v>
      </c>
      <c r="D223" s="45" t="s">
        <v>669</v>
      </c>
      <c r="E223" s="43"/>
      <c r="F223" s="43"/>
      <c r="G223" s="43"/>
      <c r="H223" s="43"/>
      <c r="I223" s="49"/>
      <c r="M223" s="47"/>
      <c r="N223" s="46"/>
    </row>
    <row r="224" spans="1:14" x14ac:dyDescent="0.2">
      <c r="A224" s="43"/>
      <c r="B224" s="43" t="s">
        <v>376</v>
      </c>
      <c r="C224" s="43">
        <v>117.125</v>
      </c>
      <c r="D224" s="45" t="s">
        <v>670</v>
      </c>
      <c r="E224" s="43"/>
      <c r="F224" s="43"/>
      <c r="G224" s="43"/>
      <c r="H224" s="43"/>
      <c r="I224" s="49"/>
      <c r="M224" s="47"/>
      <c r="N224" s="46"/>
    </row>
    <row r="225" spans="4:14" x14ac:dyDescent="0.2">
      <c r="D225" s="43"/>
      <c r="E225" s="43"/>
      <c r="F225" s="43"/>
      <c r="G225" s="43"/>
      <c r="H225" s="43"/>
      <c r="I225" s="49"/>
      <c r="M225" s="63"/>
      <c r="N225" s="46"/>
    </row>
    <row r="226" spans="4:14" x14ac:dyDescent="0.2">
      <c r="D226" s="43"/>
      <c r="E226" s="43"/>
      <c r="F226" s="43"/>
      <c r="G226" s="43"/>
      <c r="H226" s="43"/>
      <c r="M226" s="63"/>
      <c r="N226" s="46"/>
    </row>
    <row r="227" spans="4:14" x14ac:dyDescent="0.2">
      <c r="D227" s="43"/>
      <c r="E227" s="43"/>
      <c r="F227" s="43"/>
      <c r="G227" s="43"/>
      <c r="H227" s="43"/>
      <c r="M227" s="63"/>
      <c r="N227" s="46"/>
    </row>
    <row r="228" spans="4:14" x14ac:dyDescent="0.2">
      <c r="D228" s="43"/>
      <c r="E228" s="43"/>
      <c r="F228" s="43"/>
      <c r="G228" s="43"/>
      <c r="H228" s="43"/>
      <c r="M228" s="63"/>
      <c r="N228" s="46"/>
    </row>
    <row r="229" spans="4:14" x14ac:dyDescent="0.2">
      <c r="D229" s="43"/>
      <c r="E229" s="43"/>
      <c r="F229" s="43"/>
      <c r="G229" s="43"/>
      <c r="H229" s="43"/>
      <c r="M229" s="63"/>
      <c r="N229" s="46"/>
    </row>
  </sheetData>
  <sheetProtection algorithmName="SHA-512" hashValue="7NXx9wo6x9DYLz31BwaI7lwzAZDG+Q8l5INMXwOMX7WwhuOLQn6jjPrW9S0m7nk7ZqPmk6IXmD7IlEH/8S2rcw==" saltValue="ge5nckVYIPdDg/7KRtrlNQ==" spinCount="100000" sheet="1" objects="1" scenarios="1"/>
  <mergeCells count="1">
    <mergeCell ref="Q14:R14"/>
  </mergeCells>
  <phoneticPr fontId="17"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Exercise 1</vt:lpstr>
      <vt:lpstr>Exercise 2</vt:lpstr>
      <vt:lpstr>Exercise 3</vt:lpstr>
      <vt:lpstr>Exercise 4</vt:lpstr>
      <vt:lpstr>Exercise 5</vt:lpstr>
      <vt:lpstr>Exercise 6</vt:lpstr>
      <vt:lpstr>Exercise 7</vt:lpstr>
      <vt:lpstr>Exercise 8</vt:lpstr>
      <vt:lpstr>Exercise 9</vt:lpstr>
      <vt:lpstr>Answers</vt:lpstr>
      <vt:lpstr>GROSS_WAGE</vt:lpstr>
    </vt:vector>
  </TitlesOfParts>
  <Company>Y Pant School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Pearsall</dc:creator>
  <cp:lastModifiedBy>Ashley Hiscocks (Archbishop McGrath Catholic High Scho</cp:lastModifiedBy>
  <cp:lastPrinted>2004-10-18T09:27:30Z</cp:lastPrinted>
  <dcterms:created xsi:type="dcterms:W3CDTF">2003-01-05T00:16:14Z</dcterms:created>
  <dcterms:modified xsi:type="dcterms:W3CDTF">2026-09-04T14:48:43Z</dcterms:modified>
</cp:coreProperties>
</file>