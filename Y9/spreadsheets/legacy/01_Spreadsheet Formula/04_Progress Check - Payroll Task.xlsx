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Subject Specific\02_ICT\PUPILS\Year 9\Unit 1\Spreadsheets\Mr Hiscocks\"/>
    </mc:Choice>
  </mc:AlternateContent>
  <bookViews>
    <workbookView xWindow="0" yWindow="435" windowWidth="24240" windowHeight="15480" tabRatio="500"/>
  </bookViews>
  <sheets>
    <sheet name="Payroll" sheetId="1" r:id="rId1"/>
  </sheet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5" i="1" l="1"/>
  <c r="K18" i="1"/>
  <c r="K17" i="1"/>
  <c r="K16" i="1"/>
  <c r="K14" i="1"/>
  <c r="H4" i="1"/>
</calcChain>
</file>

<file path=xl/sharedStrings.xml><?xml version="1.0" encoding="utf-8"?>
<sst xmlns="http://schemas.openxmlformats.org/spreadsheetml/2006/main" count="99" uniqueCount="99">
  <si>
    <t>Name</t>
  </si>
  <si>
    <t>Rate of Pay</t>
  </si>
  <si>
    <t>Amount Due</t>
  </si>
  <si>
    <t>Payroll for week of 21/11/16</t>
  </si>
  <si>
    <t>Total to be payed</t>
  </si>
  <si>
    <t>Q1</t>
  </si>
  <si>
    <t>Q2</t>
  </si>
  <si>
    <t>What is the total number of hours worked this week ?</t>
  </si>
  <si>
    <r>
      <t xml:space="preserve">What is the total amount due to be payed when the </t>
    </r>
    <r>
      <rPr>
        <b/>
        <sz val="12"/>
        <color theme="1"/>
        <rFont val="Calibri"/>
        <family val="2"/>
        <scheme val="minor"/>
      </rPr>
      <t>rate of pay</t>
    </r>
    <r>
      <rPr>
        <sz val="12"/>
        <color theme="1"/>
        <rFont val="Calibri"/>
        <family val="2"/>
        <scheme val="minor"/>
      </rPr>
      <t xml:space="preserve"> is £9.30 ?</t>
    </r>
  </si>
  <si>
    <t>Q3</t>
  </si>
  <si>
    <t>Q4</t>
  </si>
  <si>
    <t>Staff</t>
  </si>
  <si>
    <t>Q5</t>
  </si>
  <si>
    <t>How many members of staff are they on payroll ?</t>
  </si>
  <si>
    <r>
      <t>How much of the weekly budget is left once the staff have been paid (</t>
    </r>
    <r>
      <rPr>
        <b/>
        <sz val="12"/>
        <color theme="1"/>
        <rFont val="Calibri"/>
        <family val="2"/>
        <scheme val="minor"/>
      </rPr>
      <t>the rate of pay should be £11.50</t>
    </r>
    <r>
      <rPr>
        <sz val="12"/>
        <color theme="1"/>
        <rFont val="Calibri"/>
        <family val="2"/>
        <scheme val="minor"/>
      </rPr>
      <t>) ?</t>
    </r>
  </si>
  <si>
    <t>Answers</t>
  </si>
  <si>
    <t>Correct</t>
  </si>
  <si>
    <t>Weekly Budget</t>
  </si>
  <si>
    <t>Hours Worked</t>
  </si>
  <si>
    <t>Q6</t>
  </si>
  <si>
    <t>If all staff were payed 50 weeks per year how much would be spent a year on wages ?</t>
  </si>
  <si>
    <t>Mandy Madley</t>
  </si>
  <si>
    <t>Sharon Francis</t>
  </si>
  <si>
    <t>Sara Solanot</t>
  </si>
  <si>
    <t>Lesley Harrison</t>
  </si>
  <si>
    <t>Denis Caine</t>
  </si>
  <si>
    <t>Jarrad Craggs</t>
  </si>
  <si>
    <t>Kristopher Brooks</t>
  </si>
  <si>
    <t>Justin Burnell</t>
  </si>
  <si>
    <t>Frank Baldwin</t>
  </si>
  <si>
    <t>Marc Kemp</t>
  </si>
  <si>
    <t>Miles Davidson</t>
  </si>
  <si>
    <t>Nick Heald</t>
  </si>
  <si>
    <t>John Gough</t>
  </si>
  <si>
    <t>Louise Francis</t>
  </si>
  <si>
    <t>Nathan Brown</t>
  </si>
  <si>
    <t>Joseph James</t>
  </si>
  <si>
    <t>Peter Adams</t>
  </si>
  <si>
    <t>Judy Collins</t>
  </si>
  <si>
    <t>Judith Cousins</t>
  </si>
  <si>
    <t>Janice Nichols</t>
  </si>
  <si>
    <t>Shelley Cane</t>
  </si>
  <si>
    <t>Emily Wickham</t>
  </si>
  <si>
    <t>Gabrielle James</t>
  </si>
  <si>
    <t>Jennifer Evans</t>
  </si>
  <si>
    <t>Tom Drew</t>
  </si>
  <si>
    <t>Claire Dowden</t>
  </si>
  <si>
    <t>Rachel Lester</t>
  </si>
  <si>
    <t>Ross Derrick</t>
  </si>
  <si>
    <t>Monica Wilson</t>
  </si>
  <si>
    <t>David Mayo</t>
  </si>
  <si>
    <t>Catherine Yorath</t>
  </si>
  <si>
    <t>Roy Hutin</t>
  </si>
  <si>
    <t>Mandy George</t>
  </si>
  <si>
    <t>Pheobe Walker</t>
  </si>
  <si>
    <t>Maureen Donavan</t>
  </si>
  <si>
    <t>Joanne Thomas</t>
  </si>
  <si>
    <t>Elle Butterworth</t>
  </si>
  <si>
    <t>Denise Conway</t>
  </si>
  <si>
    <t>Neil Cracknell</t>
  </si>
  <si>
    <t>Ed Stone</t>
  </si>
  <si>
    <t>Gillian Pattimore</t>
  </si>
  <si>
    <t>Anna Swan</t>
  </si>
  <si>
    <t>Chris Cava</t>
  </si>
  <si>
    <t>John Zerk</t>
  </si>
  <si>
    <t>Helen Churchill</t>
  </si>
  <si>
    <t>Sarah Saunders</t>
  </si>
  <si>
    <t>Edward Daddow</t>
  </si>
  <si>
    <t>Benjamin Bennett</t>
  </si>
  <si>
    <t>Joyce Creak</t>
  </si>
  <si>
    <t>Shirley Moore</t>
  </si>
  <si>
    <t>Grace Raymond</t>
  </si>
  <si>
    <t>Edith Bevan</t>
  </si>
  <si>
    <t>Becky Pigg</t>
  </si>
  <si>
    <t>David Harrison</t>
  </si>
  <si>
    <t>Ayesha Galvin</t>
  </si>
  <si>
    <t>Jonathan Morgans</t>
  </si>
  <si>
    <t>Terry Hole</t>
  </si>
  <si>
    <t>Mark Coles</t>
  </si>
  <si>
    <t>Sidney Atkins</t>
  </si>
  <si>
    <t>Julia Thomas</t>
  </si>
  <si>
    <t>Katherine Church</t>
  </si>
  <si>
    <t>Laura Crandon</t>
  </si>
  <si>
    <t>Craig Farthing</t>
  </si>
  <si>
    <t>Lisa Lloyd</t>
  </si>
  <si>
    <t>Julie Munden</t>
  </si>
  <si>
    <t>Susan Allen</t>
  </si>
  <si>
    <t>Sharon Sutton</t>
  </si>
  <si>
    <t>Denise John</t>
  </si>
  <si>
    <t>Cailtin Kiss</t>
  </si>
  <si>
    <t>Arthur Maguire</t>
  </si>
  <si>
    <t>Yolanda Arron</t>
  </si>
  <si>
    <t>Andrew Kerchey</t>
  </si>
  <si>
    <t>James Haring</t>
  </si>
  <si>
    <t>Donna West</t>
  </si>
  <si>
    <t>Katie Main</t>
  </si>
  <si>
    <t>Liam Parker</t>
  </si>
  <si>
    <t>Kathryn Wonnacott</t>
  </si>
  <si>
    <r>
      <t xml:space="preserve">What is the total amount to be payed when the </t>
    </r>
    <r>
      <rPr>
        <b/>
        <sz val="12"/>
        <color theme="1"/>
        <rFont val="Calibri"/>
        <family val="2"/>
        <scheme val="minor"/>
      </rPr>
      <t>rate of pay</t>
    </r>
    <r>
      <rPr>
        <sz val="12"/>
        <color theme="1"/>
        <rFont val="Calibri"/>
        <family val="2"/>
        <scheme val="minor"/>
      </rPr>
      <t xml:space="preserve"> is £11.50 for all staff 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</si>
</sst>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£&quot;* #,##0.00_);_(&quot;£&quot;* \(#,##0.00\);_(&quot;£&quot;* &quot;-&quot;??_);_(@_)"/>
    <numFmt numFmtId="165" formatCode="&quot;£&quot;#,##0.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NumberFormat="1" applyProtection="1">
      <protection locked="0"/>
    </xf>
    <xf numFmtId="0" fontId="0" fillId="3" borderId="1" xfId="0" applyNumberFormat="1" applyFill="1" applyBorder="1" applyProtection="1">
      <protection locked="0"/>
    </xf>
    <xf numFmtId="0" fontId="0" fillId="0" borderId="1" xfId="0" applyNumberFormat="1" applyBorder="1" applyProtection="1">
      <protection locked="0"/>
    </xf>
    <xf numFmtId="0" fontId="0" fillId="2" borderId="1" xfId="0" applyNumberFormat="1" applyFill="1" applyBorder="1" applyProtection="1">
      <protection locked="0"/>
    </xf>
    <xf numFmtId="0" fontId="0" fillId="2" borderId="1" xfId="1" applyNumberFormat="1" applyFont="1" applyFill="1" applyBorder="1" applyProtection="1">
      <protection locked="0"/>
    </xf>
    <xf numFmtId="0" fontId="0" fillId="0" borderId="0" xfId="0" applyNumberFormat="1" applyAlignment="1" applyProtection="1">
      <alignment horizontal="center"/>
      <protection locked="0"/>
    </xf>
    <xf numFmtId="0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NumberFormat="1" applyBorder="1" applyAlignment="1" applyProtection="1">
      <alignment horizontal="center"/>
    </xf>
    <xf numFmtId="0" fontId="3" fillId="0" borderId="0" xfId="0" applyNumberFormat="1" applyFont="1" applyAlignment="1" applyProtection="1">
      <alignment horizontal="center"/>
    </xf>
    <xf numFmtId="0" fontId="0" fillId="0" borderId="0" xfId="0" applyNumberFormat="1" applyProtection="1"/>
    <xf numFmtId="165" fontId="0" fillId="0" borderId="1" xfId="0" applyNumberFormat="1" applyBorder="1" applyProtection="1">
      <protection locked="0"/>
    </xf>
    <xf numFmtId="0" fontId="3" fillId="0" borderId="0" xfId="0" applyNumberFormat="1" applyFont="1" applyAlignment="1" applyProtection="1">
      <alignment horizontal="center"/>
      <protection locked="0"/>
    </xf>
    <xf numFmtId="0" fontId="0" fillId="0" borderId="1" xfId="0" applyBorder="1"/>
    <xf numFmtId="0" fontId="0" fillId="4" borderId="1" xfId="0" applyNumberFormat="1" applyFill="1" applyBorder="1" applyAlignment="1" applyProtection="1">
      <alignment horizontal="center"/>
      <protection locked="0"/>
    </xf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80"/>
  <sheetViews>
    <sheetView tabSelected="1" workbookViewId="0">
      <selection activeCell="D4" sqref="D4"/>
    </sheetView>
  </sheetViews>
  <sheetFormatPr defaultColWidth="10.875" defaultRowHeight="15.75" x14ac:dyDescent="0.25"/>
  <cols>
    <col min="1" max="1" width="6" style="1" customWidth="1"/>
    <col min="2" max="2" width="10.875" style="1"/>
    <col min="3" max="3" width="19.5" style="1" bestFit="1" customWidth="1"/>
    <col min="4" max="4" width="10.875" style="1"/>
    <col min="5" max="5" width="12.875" style="1" bestFit="1" customWidth="1"/>
    <col min="6" max="6" width="11.375" style="1" bestFit="1" customWidth="1"/>
    <col min="7" max="7" width="2" style="1" customWidth="1"/>
    <col min="8" max="8" width="15.375" style="1" bestFit="1" customWidth="1"/>
    <col min="9" max="9" width="89.75" style="1" bestFit="1" customWidth="1"/>
    <col min="10" max="10" width="15.375" style="1" bestFit="1" customWidth="1"/>
    <col min="11" max="11" width="0" style="1" hidden="1" customWidth="1"/>
    <col min="12" max="16384" width="10.875" style="1"/>
  </cols>
  <sheetData>
    <row r="2" spans="2:11" x14ac:dyDescent="0.25">
      <c r="B2" s="14" t="s">
        <v>3</v>
      </c>
      <c r="C2" s="14"/>
      <c r="D2" s="14"/>
      <c r="E2" s="14"/>
      <c r="F2" s="14"/>
    </row>
    <row r="3" spans="2:11" x14ac:dyDescent="0.25">
      <c r="B3" s="2" t="s">
        <v>11</v>
      </c>
      <c r="C3" s="2" t="s">
        <v>0</v>
      </c>
      <c r="D3" s="2" t="s">
        <v>1</v>
      </c>
      <c r="E3" s="2" t="s">
        <v>18</v>
      </c>
      <c r="F3" s="2" t="s">
        <v>2</v>
      </c>
      <c r="H3" s="1" t="s">
        <v>4</v>
      </c>
    </row>
    <row r="4" spans="2:11" x14ac:dyDescent="0.25">
      <c r="B4" s="13">
        <v>10000003</v>
      </c>
      <c r="C4" s="3" t="s">
        <v>21</v>
      </c>
      <c r="D4" s="11">
        <v>9.3000000000000007</v>
      </c>
      <c r="E4" s="3">
        <v>10</v>
      </c>
      <c r="F4" s="11"/>
      <c r="H4" s="4">
        <f>SUM(F4:F80)</f>
        <v>0</v>
      </c>
    </row>
    <row r="5" spans="2:11" x14ac:dyDescent="0.25">
      <c r="B5" s="13">
        <v>10000004</v>
      </c>
      <c r="C5" s="3" t="s">
        <v>22</v>
      </c>
      <c r="D5" s="11">
        <v>9.3000000000000007</v>
      </c>
      <c r="E5" s="3">
        <v>5</v>
      </c>
      <c r="F5" s="11"/>
    </row>
    <row r="6" spans="2:11" x14ac:dyDescent="0.25">
      <c r="B6" s="13">
        <v>10000005</v>
      </c>
      <c r="C6" s="3" t="s">
        <v>23</v>
      </c>
      <c r="D6" s="11">
        <v>9.3000000000000007</v>
      </c>
      <c r="E6" s="3">
        <v>19</v>
      </c>
      <c r="F6" s="11"/>
      <c r="H6" s="1" t="s">
        <v>17</v>
      </c>
    </row>
    <row r="7" spans="2:11" x14ac:dyDescent="0.25">
      <c r="B7" s="13">
        <v>10000006</v>
      </c>
      <c r="C7" s="3" t="s">
        <v>24</v>
      </c>
      <c r="D7" s="11">
        <v>9.3000000000000007</v>
      </c>
      <c r="E7" s="3">
        <v>24</v>
      </c>
      <c r="F7" s="11"/>
      <c r="H7" s="5">
        <v>24000</v>
      </c>
    </row>
    <row r="8" spans="2:11" x14ac:dyDescent="0.25">
      <c r="B8" s="13">
        <v>10000007</v>
      </c>
      <c r="C8" s="3" t="s">
        <v>25</v>
      </c>
      <c r="D8" s="11">
        <v>9.3000000000000007</v>
      </c>
      <c r="E8" s="3">
        <v>11</v>
      </c>
      <c r="F8" s="11"/>
    </row>
    <row r="9" spans="2:11" x14ac:dyDescent="0.25">
      <c r="B9" s="13">
        <v>10000008</v>
      </c>
      <c r="C9" s="3" t="s">
        <v>26</v>
      </c>
      <c r="D9" s="11">
        <v>9.3000000000000007</v>
      </c>
      <c r="E9" s="3">
        <v>3</v>
      </c>
      <c r="F9" s="11"/>
    </row>
    <row r="10" spans="2:11" x14ac:dyDescent="0.25">
      <c r="B10" s="13">
        <v>10000009</v>
      </c>
      <c r="C10" s="3" t="s">
        <v>27</v>
      </c>
      <c r="D10" s="11">
        <v>9.3000000000000007</v>
      </c>
      <c r="E10" s="3">
        <v>0</v>
      </c>
      <c r="F10" s="11"/>
    </row>
    <row r="11" spans="2:11" x14ac:dyDescent="0.25">
      <c r="B11" s="13">
        <v>10000010</v>
      </c>
      <c r="C11" s="3" t="s">
        <v>28</v>
      </c>
      <c r="D11" s="11">
        <v>9.3000000000000007</v>
      </c>
      <c r="E11" s="3">
        <v>2</v>
      </c>
      <c r="F11" s="11"/>
    </row>
    <row r="12" spans="2:11" x14ac:dyDescent="0.25">
      <c r="B12" s="13">
        <v>10000011</v>
      </c>
      <c r="C12" s="3" t="s">
        <v>29</v>
      </c>
      <c r="D12" s="11">
        <v>9.3000000000000007</v>
      </c>
      <c r="E12" s="3">
        <v>14</v>
      </c>
      <c r="F12" s="11"/>
    </row>
    <row r="13" spans="2:11" x14ac:dyDescent="0.25">
      <c r="B13" s="13">
        <v>10000012</v>
      </c>
      <c r="C13" s="3" t="s">
        <v>30</v>
      </c>
      <c r="D13" s="11">
        <v>9.3000000000000007</v>
      </c>
      <c r="E13" s="3">
        <v>12</v>
      </c>
      <c r="F13" s="11"/>
      <c r="J13" s="6" t="s">
        <v>15</v>
      </c>
      <c r="K13" s="6" t="s">
        <v>16</v>
      </c>
    </row>
    <row r="14" spans="2:11" x14ac:dyDescent="0.25">
      <c r="B14" s="13">
        <v>10000013</v>
      </c>
      <c r="C14" s="3" t="s">
        <v>31</v>
      </c>
      <c r="D14" s="11">
        <v>9.3000000000000007</v>
      </c>
      <c r="E14" s="3">
        <v>18</v>
      </c>
      <c r="F14" s="11"/>
      <c r="H14" s="9" t="s">
        <v>5</v>
      </c>
      <c r="I14" s="10" t="s">
        <v>7</v>
      </c>
      <c r="J14" s="7"/>
      <c r="K14" s="8" t="str">
        <f>IF(J14=919,"Y","N")</f>
        <v>N</v>
      </c>
    </row>
    <row r="15" spans="2:11" x14ac:dyDescent="0.25">
      <c r="B15" s="13">
        <v>10000014</v>
      </c>
      <c r="C15" s="3" t="s">
        <v>32</v>
      </c>
      <c r="D15" s="11">
        <v>9.3000000000000007</v>
      </c>
      <c r="E15" s="3">
        <v>0</v>
      </c>
      <c r="F15" s="11"/>
      <c r="H15" s="9" t="s">
        <v>6</v>
      </c>
      <c r="I15" s="10" t="s">
        <v>8</v>
      </c>
      <c r="J15" s="7"/>
      <c r="K15" s="8" t="str">
        <f>IF(J15=8546.7,"Y","N")</f>
        <v>N</v>
      </c>
    </row>
    <row r="16" spans="2:11" x14ac:dyDescent="0.25">
      <c r="B16" s="13">
        <v>10000015</v>
      </c>
      <c r="C16" s="3" t="s">
        <v>33</v>
      </c>
      <c r="D16" s="11">
        <v>9.3000000000000007</v>
      </c>
      <c r="E16" s="3">
        <v>15</v>
      </c>
      <c r="F16" s="11"/>
      <c r="H16" s="9" t="s">
        <v>9</v>
      </c>
      <c r="I16" s="10" t="s">
        <v>98</v>
      </c>
      <c r="J16" s="7"/>
      <c r="K16" s="8" t="str">
        <f>IF(J16=10568.5,"Y","N")</f>
        <v>N</v>
      </c>
    </row>
    <row r="17" spans="2:11" x14ac:dyDescent="0.25">
      <c r="B17" s="13">
        <v>10000016</v>
      </c>
      <c r="C17" s="3" t="s">
        <v>34</v>
      </c>
      <c r="D17" s="11">
        <v>9.3000000000000007</v>
      </c>
      <c r="E17" s="3">
        <v>3</v>
      </c>
      <c r="F17" s="11"/>
      <c r="H17" s="9" t="s">
        <v>10</v>
      </c>
      <c r="I17" s="10" t="s">
        <v>14</v>
      </c>
      <c r="J17" s="7"/>
      <c r="K17" s="8" t="str">
        <f>IF(J17=13431.5,"Y","N")</f>
        <v>N</v>
      </c>
    </row>
    <row r="18" spans="2:11" x14ac:dyDescent="0.25">
      <c r="B18" s="13">
        <v>10000017</v>
      </c>
      <c r="C18" s="3" t="s">
        <v>35</v>
      </c>
      <c r="D18" s="11">
        <v>9.3000000000000007</v>
      </c>
      <c r="E18" s="3">
        <v>4</v>
      </c>
      <c r="F18" s="11"/>
      <c r="H18" s="9" t="s">
        <v>12</v>
      </c>
      <c r="I18" s="10" t="s">
        <v>13</v>
      </c>
      <c r="J18" s="7"/>
      <c r="K18" s="8" t="str">
        <f>IF(J18=77,"Y","N")</f>
        <v>N</v>
      </c>
    </row>
    <row r="19" spans="2:11" x14ac:dyDescent="0.25">
      <c r="B19" s="13">
        <v>10000018</v>
      </c>
      <c r="C19" s="3" t="s">
        <v>36</v>
      </c>
      <c r="D19" s="11">
        <v>9.3000000000000007</v>
      </c>
      <c r="E19" s="3">
        <v>9</v>
      </c>
      <c r="F19" s="11"/>
      <c r="H19" s="12" t="s">
        <v>19</v>
      </c>
      <c r="I19" s="1" t="s">
        <v>20</v>
      </c>
      <c r="J19" s="4"/>
    </row>
    <row r="20" spans="2:11" x14ac:dyDescent="0.25">
      <c r="B20" s="13">
        <v>10000019</v>
      </c>
      <c r="C20" s="3" t="s">
        <v>37</v>
      </c>
      <c r="D20" s="11">
        <v>9.3000000000000007</v>
      </c>
      <c r="E20" s="3">
        <v>6</v>
      </c>
      <c r="F20" s="11"/>
    </row>
    <row r="21" spans="2:11" x14ac:dyDescent="0.25">
      <c r="B21" s="13">
        <v>10000020</v>
      </c>
      <c r="C21" s="3" t="s">
        <v>38</v>
      </c>
      <c r="D21" s="11">
        <v>9.3000000000000007</v>
      </c>
      <c r="E21" s="3">
        <v>10</v>
      </c>
      <c r="F21" s="11"/>
    </row>
    <row r="22" spans="2:11" x14ac:dyDescent="0.25">
      <c r="B22" s="13">
        <v>10000021</v>
      </c>
      <c r="C22" s="3" t="s">
        <v>39</v>
      </c>
      <c r="D22" s="11">
        <v>9.3000000000000007</v>
      </c>
      <c r="E22" s="3">
        <v>11</v>
      </c>
      <c r="F22" s="11"/>
    </row>
    <row r="23" spans="2:11" x14ac:dyDescent="0.25">
      <c r="B23" s="13">
        <v>10000022</v>
      </c>
      <c r="C23" s="3" t="s">
        <v>40</v>
      </c>
      <c r="D23" s="11">
        <v>9.3000000000000007</v>
      </c>
      <c r="E23" s="3">
        <v>8</v>
      </c>
      <c r="F23" s="11"/>
    </row>
    <row r="24" spans="2:11" x14ac:dyDescent="0.25">
      <c r="B24" s="13">
        <v>10000023</v>
      </c>
      <c r="C24" s="3" t="s">
        <v>41</v>
      </c>
      <c r="D24" s="11">
        <v>9.3000000000000007</v>
      </c>
      <c r="E24" s="3">
        <v>12</v>
      </c>
      <c r="F24" s="11"/>
    </row>
    <row r="25" spans="2:11" x14ac:dyDescent="0.25">
      <c r="B25" s="13">
        <v>10000024</v>
      </c>
      <c r="C25" s="3" t="s">
        <v>42</v>
      </c>
      <c r="D25" s="11">
        <v>9.3000000000000007</v>
      </c>
      <c r="E25" s="3">
        <v>25</v>
      </c>
      <c r="F25" s="11"/>
    </row>
    <row r="26" spans="2:11" x14ac:dyDescent="0.25">
      <c r="B26" s="13">
        <v>10000025</v>
      </c>
      <c r="C26" s="3" t="s">
        <v>43</v>
      </c>
      <c r="D26" s="11">
        <v>9.3000000000000007</v>
      </c>
      <c r="E26" s="3">
        <v>19</v>
      </c>
      <c r="F26" s="11"/>
    </row>
    <row r="27" spans="2:11" x14ac:dyDescent="0.25">
      <c r="B27" s="13">
        <v>10000026</v>
      </c>
      <c r="C27" s="3" t="s">
        <v>44</v>
      </c>
      <c r="D27" s="11">
        <v>9.3000000000000007</v>
      </c>
      <c r="E27" s="3">
        <v>20</v>
      </c>
      <c r="F27" s="11"/>
    </row>
    <row r="28" spans="2:11" x14ac:dyDescent="0.25">
      <c r="B28" s="13">
        <v>10000027</v>
      </c>
      <c r="C28" s="3" t="s">
        <v>45</v>
      </c>
      <c r="D28" s="11">
        <v>9.3000000000000007</v>
      </c>
      <c r="E28" s="3">
        <v>14</v>
      </c>
      <c r="F28" s="11"/>
    </row>
    <row r="29" spans="2:11" x14ac:dyDescent="0.25">
      <c r="B29" s="13">
        <v>10000028</v>
      </c>
      <c r="C29" s="3" t="s">
        <v>46</v>
      </c>
      <c r="D29" s="11">
        <v>9.3000000000000007</v>
      </c>
      <c r="E29" s="3">
        <v>1</v>
      </c>
      <c r="F29" s="11"/>
    </row>
    <row r="30" spans="2:11" x14ac:dyDescent="0.25">
      <c r="B30" s="13">
        <v>10000029</v>
      </c>
      <c r="C30" s="3" t="s">
        <v>47</v>
      </c>
      <c r="D30" s="11">
        <v>9.3000000000000007</v>
      </c>
      <c r="E30" s="3">
        <v>4</v>
      </c>
      <c r="F30" s="11"/>
    </row>
    <row r="31" spans="2:11" x14ac:dyDescent="0.25">
      <c r="B31" s="13">
        <v>10000030</v>
      </c>
      <c r="C31" s="3" t="s">
        <v>48</v>
      </c>
      <c r="D31" s="11">
        <v>9.3000000000000007</v>
      </c>
      <c r="E31" s="3">
        <v>7</v>
      </c>
      <c r="F31" s="11"/>
    </row>
    <row r="32" spans="2:11" x14ac:dyDescent="0.25">
      <c r="B32" s="13">
        <v>10000031</v>
      </c>
      <c r="C32" s="3" t="s">
        <v>49</v>
      </c>
      <c r="D32" s="11">
        <v>9.3000000000000007</v>
      </c>
      <c r="E32" s="3">
        <v>21</v>
      </c>
      <c r="F32" s="11"/>
    </row>
    <row r="33" spans="2:6" x14ac:dyDescent="0.25">
      <c r="B33" s="13">
        <v>10000032</v>
      </c>
      <c r="C33" s="3" t="s">
        <v>50</v>
      </c>
      <c r="D33" s="11">
        <v>9.3000000000000007</v>
      </c>
      <c r="E33" s="3">
        <v>0</v>
      </c>
      <c r="F33" s="11"/>
    </row>
    <row r="34" spans="2:6" x14ac:dyDescent="0.25">
      <c r="B34" s="13">
        <v>10000033</v>
      </c>
      <c r="C34" s="3" t="s">
        <v>51</v>
      </c>
      <c r="D34" s="11">
        <v>9.3000000000000007</v>
      </c>
      <c r="E34" s="3">
        <v>28</v>
      </c>
      <c r="F34" s="11"/>
    </row>
    <row r="35" spans="2:6" x14ac:dyDescent="0.25">
      <c r="B35" s="13">
        <v>10000034</v>
      </c>
      <c r="C35" s="3" t="s">
        <v>52</v>
      </c>
      <c r="D35" s="11">
        <v>9.3000000000000007</v>
      </c>
      <c r="E35" s="3">
        <v>2</v>
      </c>
      <c r="F35" s="11"/>
    </row>
    <row r="36" spans="2:6" x14ac:dyDescent="0.25">
      <c r="B36" s="13">
        <v>10000035</v>
      </c>
      <c r="C36" s="3" t="s">
        <v>53</v>
      </c>
      <c r="D36" s="11">
        <v>9.3000000000000007</v>
      </c>
      <c r="E36" s="3">
        <v>24</v>
      </c>
      <c r="F36" s="11"/>
    </row>
    <row r="37" spans="2:6" x14ac:dyDescent="0.25">
      <c r="B37" s="13">
        <v>10000036</v>
      </c>
      <c r="C37" s="3" t="s">
        <v>54</v>
      </c>
      <c r="D37" s="11">
        <v>9.3000000000000007</v>
      </c>
      <c r="E37" s="3">
        <v>7</v>
      </c>
      <c r="F37" s="11"/>
    </row>
    <row r="38" spans="2:6" x14ac:dyDescent="0.25">
      <c r="B38" s="13">
        <v>10000037</v>
      </c>
      <c r="C38" s="3" t="s">
        <v>55</v>
      </c>
      <c r="D38" s="11">
        <v>9.3000000000000007</v>
      </c>
      <c r="E38" s="3">
        <v>4</v>
      </c>
      <c r="F38" s="11"/>
    </row>
    <row r="39" spans="2:6" x14ac:dyDescent="0.25">
      <c r="B39" s="13">
        <v>10000038</v>
      </c>
      <c r="C39" s="3" t="s">
        <v>56</v>
      </c>
      <c r="D39" s="11">
        <v>9.3000000000000007</v>
      </c>
      <c r="E39" s="3">
        <v>0</v>
      </c>
      <c r="F39" s="11"/>
    </row>
    <row r="40" spans="2:6" x14ac:dyDescent="0.25">
      <c r="B40" s="13">
        <v>10000039</v>
      </c>
      <c r="C40" s="3" t="s">
        <v>57</v>
      </c>
      <c r="D40" s="11">
        <v>9.3000000000000007</v>
      </c>
      <c r="E40" s="3">
        <v>9</v>
      </c>
      <c r="F40" s="11"/>
    </row>
    <row r="41" spans="2:6" x14ac:dyDescent="0.25">
      <c r="B41" s="13">
        <v>10000040</v>
      </c>
      <c r="C41" s="3" t="s">
        <v>58</v>
      </c>
      <c r="D41" s="11">
        <v>9.3000000000000007</v>
      </c>
      <c r="E41" s="3">
        <v>19</v>
      </c>
      <c r="F41" s="11"/>
    </row>
    <row r="42" spans="2:6" x14ac:dyDescent="0.25">
      <c r="B42" s="13">
        <v>10000041</v>
      </c>
      <c r="C42" s="3" t="s">
        <v>59</v>
      </c>
      <c r="D42" s="11">
        <v>9.3000000000000007</v>
      </c>
      <c r="E42" s="3">
        <v>4</v>
      </c>
      <c r="F42" s="11"/>
    </row>
    <row r="43" spans="2:6" x14ac:dyDescent="0.25">
      <c r="B43" s="13">
        <v>10000042</v>
      </c>
      <c r="C43" s="3" t="s">
        <v>60</v>
      </c>
      <c r="D43" s="11">
        <v>9.3000000000000007</v>
      </c>
      <c r="E43" s="3">
        <v>20</v>
      </c>
      <c r="F43" s="11"/>
    </row>
    <row r="44" spans="2:6" x14ac:dyDescent="0.25">
      <c r="B44" s="13">
        <v>10000043</v>
      </c>
      <c r="C44" s="3" t="s">
        <v>61</v>
      </c>
      <c r="D44" s="11">
        <v>9.3000000000000007</v>
      </c>
      <c r="E44" s="3">
        <v>14</v>
      </c>
      <c r="F44" s="11"/>
    </row>
    <row r="45" spans="2:6" x14ac:dyDescent="0.25">
      <c r="B45" s="13">
        <v>10000044</v>
      </c>
      <c r="C45" s="3" t="s">
        <v>62</v>
      </c>
      <c r="D45" s="11">
        <v>9.3000000000000007</v>
      </c>
      <c r="E45" s="3">
        <v>7</v>
      </c>
      <c r="F45" s="11"/>
    </row>
    <row r="46" spans="2:6" x14ac:dyDescent="0.25">
      <c r="B46" s="13">
        <v>10000045</v>
      </c>
      <c r="C46" s="3" t="s">
        <v>63</v>
      </c>
      <c r="D46" s="11">
        <v>9.3000000000000007</v>
      </c>
      <c r="E46" s="3">
        <v>17</v>
      </c>
      <c r="F46" s="11"/>
    </row>
    <row r="47" spans="2:6" x14ac:dyDescent="0.25">
      <c r="B47" s="13">
        <v>10000046</v>
      </c>
      <c r="C47" s="3" t="s">
        <v>64</v>
      </c>
      <c r="D47" s="11">
        <v>9.3000000000000007</v>
      </c>
      <c r="E47" s="3">
        <v>19</v>
      </c>
      <c r="F47" s="11"/>
    </row>
    <row r="48" spans="2:6" x14ac:dyDescent="0.25">
      <c r="B48" s="13">
        <v>10000047</v>
      </c>
      <c r="C48" s="3" t="s">
        <v>65</v>
      </c>
      <c r="D48" s="11">
        <v>9.3000000000000007</v>
      </c>
      <c r="E48" s="3">
        <v>3</v>
      </c>
      <c r="F48" s="11"/>
    </row>
    <row r="49" spans="2:6" x14ac:dyDescent="0.25">
      <c r="B49" s="13">
        <v>10000048</v>
      </c>
      <c r="C49" s="3" t="s">
        <v>66</v>
      </c>
      <c r="D49" s="11">
        <v>9.3000000000000007</v>
      </c>
      <c r="E49" s="3">
        <v>17</v>
      </c>
      <c r="F49" s="11"/>
    </row>
    <row r="50" spans="2:6" x14ac:dyDescent="0.25">
      <c r="B50" s="13">
        <v>10000049</v>
      </c>
      <c r="C50" s="3" t="s">
        <v>67</v>
      </c>
      <c r="D50" s="11">
        <v>9.3000000000000007</v>
      </c>
      <c r="E50" s="3">
        <v>7</v>
      </c>
      <c r="F50" s="11"/>
    </row>
    <row r="51" spans="2:6" x14ac:dyDescent="0.25">
      <c r="B51" s="13">
        <v>10000050</v>
      </c>
      <c r="C51" s="3" t="s">
        <v>68</v>
      </c>
      <c r="D51" s="11">
        <v>9.3000000000000007</v>
      </c>
      <c r="E51" s="3">
        <v>17</v>
      </c>
      <c r="F51" s="11"/>
    </row>
    <row r="52" spans="2:6" x14ac:dyDescent="0.25">
      <c r="B52" s="13">
        <v>10000051</v>
      </c>
      <c r="C52" s="3" t="s">
        <v>69</v>
      </c>
      <c r="D52" s="11">
        <v>9.3000000000000007</v>
      </c>
      <c r="E52" s="3">
        <v>8</v>
      </c>
      <c r="F52" s="11"/>
    </row>
    <row r="53" spans="2:6" x14ac:dyDescent="0.25">
      <c r="B53" s="13">
        <v>10000052</v>
      </c>
      <c r="C53" s="3" t="s">
        <v>70</v>
      </c>
      <c r="D53" s="11">
        <v>9.3000000000000007</v>
      </c>
      <c r="E53" s="3">
        <v>21</v>
      </c>
      <c r="F53" s="11"/>
    </row>
    <row r="54" spans="2:6" x14ac:dyDescent="0.25">
      <c r="B54" s="13">
        <v>10000053</v>
      </c>
      <c r="C54" s="3" t="s">
        <v>71</v>
      </c>
      <c r="D54" s="11">
        <v>9.3000000000000007</v>
      </c>
      <c r="E54" s="3">
        <v>3</v>
      </c>
      <c r="F54" s="11"/>
    </row>
    <row r="55" spans="2:6" x14ac:dyDescent="0.25">
      <c r="B55" s="13">
        <v>10000054</v>
      </c>
      <c r="C55" s="3" t="s">
        <v>72</v>
      </c>
      <c r="D55" s="11">
        <v>9.3000000000000007</v>
      </c>
      <c r="E55" s="3">
        <v>12</v>
      </c>
      <c r="F55" s="11"/>
    </row>
    <row r="56" spans="2:6" x14ac:dyDescent="0.25">
      <c r="B56" s="13">
        <v>10000055</v>
      </c>
      <c r="C56" s="3" t="s">
        <v>73</v>
      </c>
      <c r="D56" s="11">
        <v>9.3000000000000007</v>
      </c>
      <c r="E56" s="3">
        <v>28</v>
      </c>
      <c r="F56" s="11"/>
    </row>
    <row r="57" spans="2:6" x14ac:dyDescent="0.25">
      <c r="B57" s="13">
        <v>10000056</v>
      </c>
      <c r="C57" s="3" t="s">
        <v>74</v>
      </c>
      <c r="D57" s="11">
        <v>9.3000000000000007</v>
      </c>
      <c r="E57" s="3">
        <v>18</v>
      </c>
      <c r="F57" s="11"/>
    </row>
    <row r="58" spans="2:6" x14ac:dyDescent="0.25">
      <c r="B58" s="13">
        <v>10000057</v>
      </c>
      <c r="C58" s="3" t="s">
        <v>75</v>
      </c>
      <c r="D58" s="11">
        <v>9.3000000000000007</v>
      </c>
      <c r="E58" s="3">
        <v>11</v>
      </c>
      <c r="F58" s="11"/>
    </row>
    <row r="59" spans="2:6" x14ac:dyDescent="0.25">
      <c r="B59" s="13">
        <v>10000058</v>
      </c>
      <c r="C59" s="3" t="s">
        <v>76</v>
      </c>
      <c r="D59" s="11">
        <v>9.3000000000000007</v>
      </c>
      <c r="E59" s="3">
        <v>16</v>
      </c>
      <c r="F59" s="11"/>
    </row>
    <row r="60" spans="2:6" x14ac:dyDescent="0.25">
      <c r="B60" s="13">
        <v>10000059</v>
      </c>
      <c r="C60" s="3" t="s">
        <v>77</v>
      </c>
      <c r="D60" s="11">
        <v>9.3000000000000007</v>
      </c>
      <c r="E60" s="3">
        <v>0</v>
      </c>
      <c r="F60" s="11"/>
    </row>
    <row r="61" spans="2:6" x14ac:dyDescent="0.25">
      <c r="B61" s="13">
        <v>10000060</v>
      </c>
      <c r="C61" s="3" t="s">
        <v>78</v>
      </c>
      <c r="D61" s="11">
        <v>9.3000000000000007</v>
      </c>
      <c r="E61" s="3">
        <v>27</v>
      </c>
      <c r="F61" s="11"/>
    </row>
    <row r="62" spans="2:6" x14ac:dyDescent="0.25">
      <c r="B62" s="13">
        <v>10000061</v>
      </c>
      <c r="C62" s="3" t="s">
        <v>79</v>
      </c>
      <c r="D62" s="11">
        <v>9.3000000000000007</v>
      </c>
      <c r="E62" s="3">
        <v>9</v>
      </c>
      <c r="F62" s="11"/>
    </row>
    <row r="63" spans="2:6" x14ac:dyDescent="0.25">
      <c r="B63" s="13">
        <v>10000062</v>
      </c>
      <c r="C63" s="3" t="s">
        <v>80</v>
      </c>
      <c r="D63" s="11">
        <v>9.3000000000000007</v>
      </c>
      <c r="E63" s="3">
        <v>10</v>
      </c>
      <c r="F63" s="11"/>
    </row>
    <row r="64" spans="2:6" x14ac:dyDescent="0.25">
      <c r="B64" s="13">
        <v>10000063</v>
      </c>
      <c r="C64" s="3" t="s">
        <v>81</v>
      </c>
      <c r="D64" s="11">
        <v>9.3000000000000007</v>
      </c>
      <c r="E64" s="3">
        <v>5</v>
      </c>
      <c r="F64" s="11"/>
    </row>
    <row r="65" spans="2:6" x14ac:dyDescent="0.25">
      <c r="B65" s="13">
        <v>10000064</v>
      </c>
      <c r="C65" s="3" t="s">
        <v>82</v>
      </c>
      <c r="D65" s="11">
        <v>9.3000000000000007</v>
      </c>
      <c r="E65" s="3">
        <v>21</v>
      </c>
      <c r="F65" s="11"/>
    </row>
    <row r="66" spans="2:6" x14ac:dyDescent="0.25">
      <c r="B66" s="13">
        <v>10000065</v>
      </c>
      <c r="C66" s="3" t="s">
        <v>83</v>
      </c>
      <c r="D66" s="11">
        <v>9.3000000000000007</v>
      </c>
      <c r="E66" s="3">
        <v>27</v>
      </c>
      <c r="F66" s="11"/>
    </row>
    <row r="67" spans="2:6" x14ac:dyDescent="0.25">
      <c r="B67" s="13">
        <v>10000066</v>
      </c>
      <c r="C67" s="3" t="s">
        <v>84</v>
      </c>
      <c r="D67" s="11">
        <v>9.3000000000000007</v>
      </c>
      <c r="E67" s="3">
        <v>6</v>
      </c>
      <c r="F67" s="11"/>
    </row>
    <row r="68" spans="2:6" x14ac:dyDescent="0.25">
      <c r="B68" s="13">
        <v>10000067</v>
      </c>
      <c r="C68" s="3" t="s">
        <v>85</v>
      </c>
      <c r="D68" s="11">
        <v>9.3000000000000007</v>
      </c>
      <c r="E68" s="3">
        <v>25</v>
      </c>
      <c r="F68" s="11"/>
    </row>
    <row r="69" spans="2:6" x14ac:dyDescent="0.25">
      <c r="B69" s="13">
        <v>10000068</v>
      </c>
      <c r="C69" s="3" t="s">
        <v>86</v>
      </c>
      <c r="D69" s="11">
        <v>9.3000000000000007</v>
      </c>
      <c r="E69" s="3">
        <v>21</v>
      </c>
      <c r="F69" s="11"/>
    </row>
    <row r="70" spans="2:6" x14ac:dyDescent="0.25">
      <c r="B70" s="13">
        <v>10000069</v>
      </c>
      <c r="C70" s="3" t="s">
        <v>87</v>
      </c>
      <c r="D70" s="11">
        <v>9.3000000000000007</v>
      </c>
      <c r="E70" s="3">
        <v>6</v>
      </c>
      <c r="F70" s="11"/>
    </row>
    <row r="71" spans="2:6" x14ac:dyDescent="0.25">
      <c r="B71" s="13">
        <v>10000070</v>
      </c>
      <c r="C71" s="3" t="s">
        <v>88</v>
      </c>
      <c r="D71" s="11">
        <v>9.3000000000000007</v>
      </c>
      <c r="E71" s="3">
        <v>0</v>
      </c>
      <c r="F71" s="11"/>
    </row>
    <row r="72" spans="2:6" x14ac:dyDescent="0.25">
      <c r="B72" s="13">
        <v>10000071</v>
      </c>
      <c r="C72" s="3" t="s">
        <v>89</v>
      </c>
      <c r="D72" s="11">
        <v>9.3000000000000007</v>
      </c>
      <c r="E72" s="3">
        <v>13</v>
      </c>
      <c r="F72" s="11"/>
    </row>
    <row r="73" spans="2:6" x14ac:dyDescent="0.25">
      <c r="B73" s="13">
        <v>10000072</v>
      </c>
      <c r="C73" s="3" t="s">
        <v>90</v>
      </c>
      <c r="D73" s="11">
        <v>9.3000000000000007</v>
      </c>
      <c r="E73" s="3">
        <v>15</v>
      </c>
      <c r="F73" s="11"/>
    </row>
    <row r="74" spans="2:6" x14ac:dyDescent="0.25">
      <c r="B74" s="13">
        <v>10000073</v>
      </c>
      <c r="C74" s="3" t="s">
        <v>91</v>
      </c>
      <c r="D74" s="11">
        <v>9.3000000000000007</v>
      </c>
      <c r="E74" s="3">
        <v>17</v>
      </c>
      <c r="F74" s="11"/>
    </row>
    <row r="75" spans="2:6" x14ac:dyDescent="0.25">
      <c r="B75" s="13">
        <v>10000074</v>
      </c>
      <c r="C75" s="3" t="s">
        <v>92</v>
      </c>
      <c r="D75" s="11">
        <v>9.3000000000000007</v>
      </c>
      <c r="E75" s="3">
        <v>10</v>
      </c>
      <c r="F75" s="11"/>
    </row>
    <row r="76" spans="2:6" x14ac:dyDescent="0.25">
      <c r="B76" s="13">
        <v>10000075</v>
      </c>
      <c r="C76" s="3" t="s">
        <v>93</v>
      </c>
      <c r="D76" s="11">
        <v>9.3000000000000007</v>
      </c>
      <c r="E76" s="3">
        <v>23</v>
      </c>
      <c r="F76" s="11"/>
    </row>
    <row r="77" spans="2:6" x14ac:dyDescent="0.25">
      <c r="B77" s="13">
        <v>10000076</v>
      </c>
      <c r="C77" s="3" t="s">
        <v>94</v>
      </c>
      <c r="D77" s="11">
        <v>9.3000000000000007</v>
      </c>
      <c r="E77" s="3">
        <v>11</v>
      </c>
      <c r="F77" s="11"/>
    </row>
    <row r="78" spans="2:6" x14ac:dyDescent="0.25">
      <c r="B78" s="13">
        <v>10000077</v>
      </c>
      <c r="C78" s="3" t="s">
        <v>95</v>
      </c>
      <c r="D78" s="11">
        <v>9.3000000000000007</v>
      </c>
      <c r="E78" s="3">
        <v>18</v>
      </c>
      <c r="F78" s="11"/>
    </row>
    <row r="79" spans="2:6" x14ac:dyDescent="0.25">
      <c r="B79" s="13">
        <v>10000078</v>
      </c>
      <c r="C79" s="3" t="s">
        <v>96</v>
      </c>
      <c r="D79" s="11">
        <v>9.3000000000000007</v>
      </c>
      <c r="E79" s="3">
        <v>8</v>
      </c>
      <c r="F79" s="11"/>
    </row>
    <row r="80" spans="2:6" x14ac:dyDescent="0.25">
      <c r="B80" s="13">
        <v>10000079</v>
      </c>
      <c r="C80" s="3" t="s">
        <v>97</v>
      </c>
      <c r="D80" s="11">
        <v>9.3000000000000007</v>
      </c>
      <c r="E80" s="3">
        <v>5</v>
      </c>
      <c r="F80" s="11"/>
    </row>
  </sheetData>
  <mergeCells count="1">
    <mergeCell ref="B2:F2"/>
  </mergeCells>
  <conditionalFormatting sqref="K14:K1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Ashley.Hiscocks</cp:lastModifiedBy>
  <dcterms:created xsi:type="dcterms:W3CDTF">2016-11-23T23:50:48Z</dcterms:created>
  <dcterms:modified xsi:type="dcterms:W3CDTF">2018-10-08T08:53:15Z</dcterms:modified>
</cp:coreProperties>
</file>