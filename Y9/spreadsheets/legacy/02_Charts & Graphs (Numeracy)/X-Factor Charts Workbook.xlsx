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SUBJECT SPECIFIC\02_ICT\01_Lower_School_ICT\03_Year 9\01_Spreadsheet Modelling\02_Charts &amp; Graphs (Numeracy)\"/>
    </mc:Choice>
  </mc:AlternateContent>
  <xr:revisionPtr revIDLastSave="0" documentId="13_ncr:1_{2AC49D6E-EB79-4578-8110-F55F14FEA88A}" xr6:coauthVersionLast="47" xr6:coauthVersionMax="47" xr10:uidLastSave="{00000000-0000-0000-0000-000000000000}"/>
  <bookViews>
    <workbookView xWindow="30750" yWindow="1950" windowWidth="21600" windowHeight="11295" tabRatio="500" firstSheet="1" activeTab="3" xr2:uid="{00000000-000D-0000-FFFF-FFFF00000000}"/>
  </bookViews>
  <sheets>
    <sheet name="Introduction" sheetId="3" r:id="rId1"/>
    <sheet name="Tasg 1" sheetId="8" r:id="rId2"/>
    <sheet name="Tasg 2" sheetId="9" r:id="rId3"/>
    <sheet name="Tasg 3" sheetId="2" r:id="rId4"/>
    <sheet name="Tasg 4" sheetId="4" r:id="rId5"/>
    <sheet name="Tasg 5" sheetId="5" r:id="rId6"/>
    <sheet name="Tasg 7" sheetId="1" r:id="rId7"/>
    <sheet name="Tasg 6" sheetId="6" r:id="rId8"/>
    <sheet name="Extension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2" i="7" l="1"/>
  <c r="M23" i="7"/>
  <c r="M24" i="7"/>
  <c r="M25" i="7"/>
  <c r="M26" i="7"/>
  <c r="M21" i="7"/>
  <c r="M27" i="7" s="1"/>
  <c r="F27" i="7"/>
  <c r="G27" i="7"/>
  <c r="H27" i="7"/>
  <c r="I27" i="7"/>
  <c r="J27" i="7"/>
  <c r="K27" i="7"/>
  <c r="L27" i="7"/>
  <c r="E27" i="7"/>
  <c r="F14" i="4"/>
  <c r="H14" i="4" s="1"/>
  <c r="G14" i="4"/>
  <c r="F15" i="4"/>
  <c r="G15" i="4" s="1"/>
  <c r="F16" i="4"/>
  <c r="G16" i="4"/>
  <c r="F17" i="4"/>
  <c r="G17" i="4" s="1"/>
  <c r="H17" i="4" s="1"/>
  <c r="F18" i="4"/>
  <c r="H18" i="4" s="1"/>
  <c r="G18" i="4"/>
  <c r="F19" i="4"/>
  <c r="G19" i="4" s="1"/>
  <c r="F13" i="4"/>
  <c r="F20" i="4" s="1"/>
  <c r="G13" i="4"/>
  <c r="H13" i="4"/>
  <c r="H16" i="4"/>
  <c r="E11" i="2"/>
  <c r="E16" i="2" s="1"/>
  <c r="E12" i="2"/>
  <c r="E13" i="2"/>
  <c r="E14" i="2"/>
  <c r="E15" i="2"/>
  <c r="D16" i="2"/>
  <c r="G20" i="4" l="1"/>
  <c r="H19" i="4"/>
  <c r="H15" i="4"/>
  <c r="H20" i="4" s="1"/>
</calcChain>
</file>

<file path=xl/sharedStrings.xml><?xml version="1.0" encoding="utf-8"?>
<sst xmlns="http://schemas.openxmlformats.org/spreadsheetml/2006/main" count="161" uniqueCount="152">
  <si>
    <t xml:space="preserve">Q1 - Make a prediction about this relationship </t>
  </si>
  <si>
    <t>Ticket Type</t>
  </si>
  <si>
    <t>Cost for ticket</t>
  </si>
  <si>
    <t>Number of tickets sold</t>
  </si>
  <si>
    <t>Total</t>
  </si>
  <si>
    <t>Adult</t>
  </si>
  <si>
    <t>Student</t>
  </si>
  <si>
    <t>Youth</t>
  </si>
  <si>
    <t>Child</t>
  </si>
  <si>
    <t xml:space="preserve">Wheelchair </t>
  </si>
  <si>
    <t>Learning Intentions</t>
  </si>
  <si>
    <t>Success Criteria</t>
  </si>
  <si>
    <t>Start Task 1</t>
  </si>
  <si>
    <t>Complete the chart tasks</t>
  </si>
  <si>
    <t>Review our progress using the skills checklist</t>
  </si>
  <si>
    <t>Staff Type</t>
  </si>
  <si>
    <t>Rate of pay</t>
  </si>
  <si>
    <t>Number of Hours</t>
  </si>
  <si>
    <t>Gross Pay</t>
  </si>
  <si>
    <t>Tax Deduction</t>
  </si>
  <si>
    <t>Net Pay</t>
  </si>
  <si>
    <t>Totals</t>
  </si>
  <si>
    <t>Go to Task 2</t>
  </si>
  <si>
    <t>Go to Task 3</t>
  </si>
  <si>
    <t>Go to Task 4</t>
  </si>
  <si>
    <t>Go to Task 5</t>
  </si>
  <si>
    <t>Make sure you save this in your Unit 1 folder in your documents</t>
  </si>
  <si>
    <t>Ensure that your folders are organised correctly</t>
  </si>
  <si>
    <r>
      <t xml:space="preserve">To become familiar with creating and editing various chart types </t>
    </r>
    <r>
      <rPr>
        <b/>
        <i/>
        <sz val="12"/>
        <color theme="1"/>
        <rFont val="Calibri"/>
        <family val="2"/>
        <scheme val="minor"/>
      </rPr>
      <t>(All Tasks)</t>
    </r>
  </si>
  <si>
    <t>Consider carefully which chart may be more appropriate to use, look back to the previous tasks for help</t>
  </si>
  <si>
    <t>Q5b - Why do you think this might be</t>
  </si>
  <si>
    <t>Write appropriate formulas in the yellow cells</t>
  </si>
  <si>
    <t>Go to Extension</t>
  </si>
  <si>
    <t>Q4 - Describe what you have found below.</t>
  </si>
  <si>
    <t>Q3 - Give your chart a title, label the axes and format it appropriately</t>
  </si>
  <si>
    <t>Q4 - Include a linear trendline to your chart</t>
  </si>
  <si>
    <t>Q5 - Describe what your chart shows, was you prediciton correct ?</t>
  </si>
  <si>
    <t>Q1 - Create a line chart to display the data below</t>
  </si>
  <si>
    <t xml:space="preserve">Q2 -Label your chart and format it approprietly </t>
  </si>
  <si>
    <t xml:space="preserve">Q3 - Include a linear trendline to your chart </t>
  </si>
  <si>
    <t xml:space="preserve">Q4 - Include droplines to your graph. </t>
  </si>
  <si>
    <t>Q5 - Describe what the chart shows</t>
  </si>
  <si>
    <t>Q1 - Format the table below.</t>
  </si>
  <si>
    <t>Q3 - Format your chart and give it appropriate labels and title</t>
  </si>
  <si>
    <t>Q3 - Include a legend at the bottom of the chart</t>
  </si>
  <si>
    <t>Q1 - Create a pie chart to display the number of hours worked for each staff type</t>
  </si>
  <si>
    <t xml:space="preserve">Q2 - Display the percentage for each segment on your chart </t>
  </si>
  <si>
    <t>Q3 - Recolour each segment of the pie chart to match the staff type colours.</t>
  </si>
  <si>
    <t>Q4 - Give your chart an appropriate title.</t>
  </si>
  <si>
    <t>Q5 - Put a border around your pie chart (not the rectangle, the actual circle)</t>
  </si>
  <si>
    <t>Q1 - Create a bar chart to display the number of tickets sold to each ticket type</t>
  </si>
  <si>
    <t>Q2 - Format your table and your chart appropriately</t>
  </si>
  <si>
    <t>Q3 - Label your chart axes and give it an appropriate title</t>
  </si>
  <si>
    <t>Complete the task sheets about the X-Factor. Create charts to investigate and report on the X-Factor Show.</t>
  </si>
  <si>
    <t>X-Factor Ticket sales for 1 Live Show</t>
  </si>
  <si>
    <t>X-Factor Crew Staffing Costs</t>
  </si>
  <si>
    <t>Stage Hands</t>
  </si>
  <si>
    <t>Stage Manager</t>
  </si>
  <si>
    <t>Lighting Assistant</t>
  </si>
  <si>
    <t>Sound Manager</t>
  </si>
  <si>
    <t>Sound Assistant</t>
  </si>
  <si>
    <t>Lighting Director</t>
  </si>
  <si>
    <t>Props Manager</t>
  </si>
  <si>
    <t>Q2 - Create a column chart to compare the profits for each live show over 3 years</t>
  </si>
  <si>
    <t>Live Show 1</t>
  </si>
  <si>
    <t>Live Show 2</t>
  </si>
  <si>
    <t>Live Show 3</t>
  </si>
  <si>
    <t>Live Show 4</t>
  </si>
  <si>
    <t>Live Show 5</t>
  </si>
  <si>
    <t>Number of Viewers</t>
  </si>
  <si>
    <t>X-Factor Bosses would like to investigate the link between Show times and Viewers</t>
  </si>
  <si>
    <t>Show Time</t>
  </si>
  <si>
    <t>Live Show Number</t>
  </si>
  <si>
    <t>Live Final</t>
  </si>
  <si>
    <t>4pm</t>
  </si>
  <si>
    <t>5pm</t>
  </si>
  <si>
    <t>6pm</t>
  </si>
  <si>
    <t>7pm</t>
  </si>
  <si>
    <t>8pm</t>
  </si>
  <si>
    <t>9pm</t>
  </si>
  <si>
    <t>10pm</t>
  </si>
  <si>
    <t>11pm</t>
  </si>
  <si>
    <t>Q2 - Use a chart to show the number of viewers across all live shows</t>
  </si>
  <si>
    <t>Q3 - Use a chart to investigate the relationship between show time and the number of viewers (use the totals for each day)</t>
  </si>
  <si>
    <t>Q1 - Use a chart to show the proportion of sales for each show time (use the totals)</t>
  </si>
  <si>
    <t>Q5a - What do you notice about the 8pm show time ?</t>
  </si>
  <si>
    <t>Q6a - An X-Factor Executive thinks that views increase the showtime gets later, create a chart to investigate this</t>
  </si>
  <si>
    <t xml:space="preserve">Q6b - Was the executive correct ?, How can you tell ? </t>
  </si>
  <si>
    <t>Extension - Show Time Investigation</t>
  </si>
  <si>
    <r>
      <t>To be able to use charts to compare data</t>
    </r>
    <r>
      <rPr>
        <b/>
        <i/>
        <sz val="12"/>
        <color theme="1"/>
        <rFont val="Calibri"/>
        <family val="2"/>
        <scheme val="minor"/>
      </rPr>
      <t xml:space="preserve"> (Task g &amp; Extension)</t>
    </r>
  </si>
  <si>
    <r>
      <t xml:space="preserve">To be able to make predicitons using charts </t>
    </r>
    <r>
      <rPr>
        <b/>
        <i/>
        <sz val="12"/>
        <color theme="1"/>
        <rFont val="Calibri"/>
        <family val="2"/>
        <scheme val="minor"/>
      </rPr>
      <t>(Tasg &amp; Extension)</t>
    </r>
  </si>
  <si>
    <t>Series</t>
  </si>
  <si>
    <t>Average Viewers per Episode (In Millions)</t>
  </si>
  <si>
    <t>X-Factor Bosses would like to investigate the relationship between the Celebrity Guest's popularity and the number of viewers for that episode</t>
  </si>
  <si>
    <t>Celebrity Guest</t>
  </si>
  <si>
    <t>Popularity</t>
  </si>
  <si>
    <t>James Arthur</t>
  </si>
  <si>
    <t>Little Mix</t>
  </si>
  <si>
    <t>Shawn Mendes</t>
  </si>
  <si>
    <t>John Legend</t>
  </si>
  <si>
    <t>Louisa Johnson</t>
  </si>
  <si>
    <t>Bruno Mars</t>
  </si>
  <si>
    <t>Emeli Sande</t>
  </si>
  <si>
    <t>Alicia Keys</t>
  </si>
  <si>
    <t>Olly Murs</t>
  </si>
  <si>
    <t>Charlie Puth</t>
  </si>
  <si>
    <t>Zara Larsson</t>
  </si>
  <si>
    <t>Louis Tomlinson</t>
  </si>
  <si>
    <t>The Weeknd</t>
  </si>
  <si>
    <t>Sean Paul</t>
  </si>
  <si>
    <t>Justin Bieber</t>
  </si>
  <si>
    <t>Viewers (in 100,000's)</t>
  </si>
  <si>
    <t>Number of Top 10 Hits</t>
  </si>
  <si>
    <t>Number of Top 40 Hits</t>
  </si>
  <si>
    <t>(in Millions)</t>
  </si>
  <si>
    <t>Celebrity Guests Popularity is measured by counting the number of Top 10 and Top 40 Hits they have associated with their name.</t>
  </si>
  <si>
    <t>Q6 - Does using the number of top 40 hits as your popularity measure alter your conclusion ?</t>
  </si>
  <si>
    <t>Average Viewers for each Series</t>
  </si>
  <si>
    <t>Q2 - Create a line chart to investigate your prediction (Use Top 10 hits as your popularity measure)</t>
  </si>
  <si>
    <t>Tasg 1 - Create a Column Chart</t>
  </si>
  <si>
    <t>Animal</t>
  </si>
  <si>
    <t>Weight (kg)</t>
  </si>
  <si>
    <t>Tiger</t>
  </si>
  <si>
    <t>Rhinoceros</t>
  </si>
  <si>
    <t>Lion</t>
  </si>
  <si>
    <t>Chimpanzee</t>
  </si>
  <si>
    <t>Homer Simpson</t>
  </si>
  <si>
    <t>Q1 - Create a column chart to display the weights of the different animals</t>
  </si>
  <si>
    <t>Q3 - Format your chart with suitable colors</t>
  </si>
  <si>
    <t>Q2 - Add a title and axis labels to your chart</t>
  </si>
  <si>
    <t>Graph to show weights of different animals</t>
  </si>
  <si>
    <t>Tasg 2 - Classes favourite colours</t>
  </si>
  <si>
    <t>Q1 - Create a bar chart chart to show the 8C's favourite colours</t>
  </si>
  <si>
    <t>Graph to show 8C's favourite colours</t>
  </si>
  <si>
    <t>Colour</t>
  </si>
  <si>
    <t>Frequency</t>
  </si>
  <si>
    <t>Red</t>
  </si>
  <si>
    <t>Blue</t>
  </si>
  <si>
    <t>Orange</t>
  </si>
  <si>
    <t>Green</t>
  </si>
  <si>
    <t>Purple</t>
  </si>
  <si>
    <t>Pink</t>
  </si>
  <si>
    <t>Light Blue</t>
  </si>
  <si>
    <t>Black</t>
  </si>
  <si>
    <t>Grey</t>
  </si>
  <si>
    <t>Tasg 3 - Ticket Type Sales</t>
  </si>
  <si>
    <t>Tasg 4 - Crew Staff Costs</t>
  </si>
  <si>
    <t>Tasg 5 - Live Show Profits</t>
  </si>
  <si>
    <t>Tasg 6 - Series Popularity</t>
  </si>
  <si>
    <t>Tasg 7 - Celebrity Guest Influence</t>
  </si>
  <si>
    <t>Go to Task 6</t>
  </si>
  <si>
    <t>Go to Task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</si>
</sst>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</font>
    <font>
      <u/>
      <sz val="12"/>
      <color theme="10"/>
      <name val="Calibri"/>
      <family val="2"/>
      <scheme val="minor"/>
    </font>
    <font>
      <b/>
      <u/>
      <sz val="12"/>
      <color theme="1"/>
      <name val="Calibri"/>
      <scheme val="minor"/>
    </font>
    <font>
      <b/>
      <u/>
      <sz val="16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222222"/>
      <name val="Arial"/>
    </font>
    <font>
      <sz val="12"/>
      <color rgb="FF22222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0" fontId="2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/>
    <xf numFmtId="0" fontId="0" fillId="0" borderId="9" xfId="0" applyBorder="1"/>
    <xf numFmtId="164" fontId="0" fillId="0" borderId="9" xfId="0" applyNumberFormat="1" applyFill="1" applyBorder="1"/>
    <xf numFmtId="164" fontId="0" fillId="0" borderId="9" xfId="0" applyNumberFormat="1" applyBorder="1"/>
    <xf numFmtId="0" fontId="0" fillId="0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0" fillId="3" borderId="5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17" borderId="1" xfId="0" applyFill="1" applyBorder="1"/>
    <xf numFmtId="0" fontId="0" fillId="4" borderId="1" xfId="0" applyFill="1" applyBorder="1" applyAlignment="1">
      <alignment horizontal="center" vertical="center"/>
    </xf>
    <xf numFmtId="0" fontId="0" fillId="7" borderId="1" xfId="0" applyFill="1" applyBorder="1"/>
    <xf numFmtId="0" fontId="3" fillId="0" borderId="0" xfId="1"/>
    <xf numFmtId="15" fontId="10" fillId="0" borderId="0" xfId="0" applyNumberFormat="1" applyFont="1"/>
    <xf numFmtId="0" fontId="10" fillId="0" borderId="0" xfId="0" applyFont="1"/>
    <xf numFmtId="0" fontId="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9" fillId="0" borderId="0" xfId="0" applyFont="1" applyFill="1" applyBorder="1"/>
    <xf numFmtId="0" fontId="0" fillId="2" borderId="0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12" fillId="20" borderId="1" xfId="0" applyFont="1" applyFill="1" applyBorder="1" applyAlignment="1">
      <alignment horizontal="left"/>
    </xf>
    <xf numFmtId="0" fontId="13" fillId="12" borderId="1" xfId="0" applyFont="1" applyFill="1" applyBorder="1"/>
    <xf numFmtId="0" fontId="13" fillId="0" borderId="1" xfId="0" applyFont="1" applyBorder="1" applyAlignment="1">
      <alignment horizontal="center"/>
    </xf>
    <xf numFmtId="0" fontId="13" fillId="11" borderId="1" xfId="0" applyFont="1" applyFill="1" applyBorder="1"/>
    <xf numFmtId="0" fontId="13" fillId="9" borderId="1" xfId="0" applyFont="1" applyFill="1" applyBorder="1"/>
    <xf numFmtId="0" fontId="13" fillId="13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13" fillId="21" borderId="1" xfId="0" applyFont="1" applyFill="1" applyBorder="1"/>
    <xf numFmtId="0" fontId="13" fillId="16" borderId="1" xfId="0" applyFont="1" applyFill="1" applyBorder="1"/>
    <xf numFmtId="0" fontId="13" fillId="16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3" fillId="7" borderId="10" xfId="1" applyFill="1" applyBorder="1" applyAlignment="1">
      <alignment horizontal="center" vertical="center"/>
    </xf>
    <xf numFmtId="0" fontId="3" fillId="7" borderId="11" xfId="1" applyFill="1" applyBorder="1" applyAlignment="1">
      <alignment horizontal="center" vertical="center"/>
    </xf>
    <xf numFmtId="0" fontId="3" fillId="7" borderId="12" xfId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18" borderId="10" xfId="0" applyFont="1" applyFill="1" applyBorder="1" applyAlignment="1">
      <alignment horizontal="center"/>
    </xf>
    <xf numFmtId="0" fontId="7" fillId="18" borderId="11" xfId="0" applyFont="1" applyFill="1" applyBorder="1" applyAlignment="1">
      <alignment horizontal="center"/>
    </xf>
    <xf numFmtId="0" fontId="7" fillId="18" borderId="12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7" fillId="19" borderId="10" xfId="0" applyFont="1" applyFill="1" applyBorder="1" applyAlignment="1">
      <alignment horizontal="center"/>
    </xf>
    <xf numFmtId="0" fontId="7" fillId="19" borderId="11" xfId="0" applyFont="1" applyFill="1" applyBorder="1" applyAlignment="1">
      <alignment horizontal="center"/>
    </xf>
    <xf numFmtId="0" fontId="7" fillId="19" borderId="12" xfId="0" applyFont="1" applyFill="1" applyBorder="1" applyAlignment="1">
      <alignment horizontal="center"/>
    </xf>
    <xf numFmtId="0" fontId="0" fillId="2" borderId="17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18" borderId="1" xfId="0" applyFill="1" applyBorder="1" applyAlignment="1">
      <alignment horizontal="center"/>
    </xf>
    <xf numFmtId="0" fontId="0" fillId="2" borderId="21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7" fillId="10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7" fillId="15" borderId="10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colors>
    <mruColors>
      <color rgb="FFFFB4AA"/>
      <color rgb="FFFF8C86"/>
      <color rgb="FFD60002"/>
      <color rgb="FFB51B01"/>
      <color rgb="FFFFCAF9"/>
      <color rgb="FFAA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jp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313619</xdr:colOff>
      <xdr:row>1</xdr:row>
      <xdr:rowOff>73025</xdr:rowOff>
    </xdr:to>
    <xdr:sp macro="" textlink="">
      <xdr:nvSpPr>
        <xdr:cNvPr id="2" name="AutoShape 1" descr="nknown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13619" cy="28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oneCellAnchor>
    <xdr:from>
      <xdr:col>5</xdr:col>
      <xdr:colOff>311104</xdr:colOff>
      <xdr:row>0</xdr:row>
      <xdr:rowOff>164774</xdr:rowOff>
    </xdr:from>
    <xdr:ext cx="4502963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784804" y="164774"/>
          <a:ext cx="450296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5400" b="0" cap="none" spc="0">
              <a:ln w="0">
                <a:solidFill>
                  <a:sysClr val="windowText" lastClr="000000"/>
                </a:solidFill>
              </a:ln>
              <a:solidFill>
                <a:srgbClr val="FF0000"/>
              </a:solidFill>
              <a:effectLst>
                <a:glow rad="101600">
                  <a:schemeClr val="tx1">
                    <a:alpha val="40000"/>
                  </a:schemeClr>
                </a:glow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X-Factor</a:t>
          </a:r>
          <a:r>
            <a:rPr lang="en-GB" sz="5400" b="0" cap="none" spc="0" baseline="0">
              <a:ln w="0">
                <a:solidFill>
                  <a:sysClr val="windowText" lastClr="000000"/>
                </a:solidFill>
              </a:ln>
              <a:solidFill>
                <a:srgbClr val="FF0000"/>
              </a:solidFill>
              <a:effectLst>
                <a:glow rad="101600">
                  <a:schemeClr val="tx1">
                    <a:alpha val="40000"/>
                  </a:schemeClr>
                </a:glow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en-GB" sz="5400" b="0" cap="none" spc="0">
              <a:ln w="0">
                <a:solidFill>
                  <a:sysClr val="windowText" lastClr="000000"/>
                </a:solidFill>
              </a:ln>
              <a:solidFill>
                <a:srgbClr val="FF0000"/>
              </a:solidFill>
              <a:effectLst>
                <a:glow rad="101600">
                  <a:schemeClr val="tx1">
                    <a:alpha val="40000"/>
                  </a:schemeClr>
                </a:glow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Charts</a:t>
          </a:r>
        </a:p>
      </xdr:txBody>
    </xdr:sp>
    <xdr:clientData/>
  </xdr:oneCellAnchor>
  <xdr:twoCellAnchor editAs="oneCell">
    <xdr:from>
      <xdr:col>1</xdr:col>
      <xdr:colOff>0</xdr:colOff>
      <xdr:row>21</xdr:row>
      <xdr:rowOff>88900</xdr:rowOff>
    </xdr:from>
    <xdr:to>
      <xdr:col>9</xdr:col>
      <xdr:colOff>63500</xdr:colOff>
      <xdr:row>39</xdr:row>
      <xdr:rowOff>1551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053" b="2831"/>
        <a:stretch/>
      </xdr:blipFill>
      <xdr:spPr>
        <a:xfrm>
          <a:off x="2120900" y="3860800"/>
          <a:ext cx="6769100" cy="3570251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88900</xdr:colOff>
      <xdr:row>21</xdr:row>
      <xdr:rowOff>88900</xdr:rowOff>
    </xdr:from>
    <xdr:to>
      <xdr:col>15</xdr:col>
      <xdr:colOff>0</xdr:colOff>
      <xdr:row>39</xdr:row>
      <xdr:rowOff>5564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54" r="2506"/>
        <a:stretch/>
      </xdr:blipFill>
      <xdr:spPr>
        <a:xfrm>
          <a:off x="8915400" y="3860800"/>
          <a:ext cx="4940300" cy="357426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65414</xdr:colOff>
      <xdr:row>6</xdr:row>
      <xdr:rowOff>19049</xdr:rowOff>
    </xdr:from>
    <xdr:to>
      <xdr:col>11</xdr:col>
      <xdr:colOff>773530</xdr:colOff>
      <xdr:row>19</xdr:row>
      <xdr:rowOff>198418</xdr:rowOff>
    </xdr:to>
    <xdr:pic>
      <xdr:nvPicPr>
        <xdr:cNvPr id="2" name="Picture 1" descr="Chiltern Teaching School on X">
          <a:extLst>
            <a:ext uri="{FF2B5EF4-FFF2-40B4-BE49-F238E27FC236}">
              <a16:creationId xmlns:a16="http://schemas.microsoft.com/office/drawing/2014/main" id="{D1D5BAAB-BD9C-4E6E-9CD0-9083BA183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1164" y="1323974"/>
          <a:ext cx="4060916" cy="305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7</xdr:row>
      <xdr:rowOff>38100</xdr:rowOff>
    </xdr:from>
    <xdr:to>
      <xdr:col>12</xdr:col>
      <xdr:colOff>793841</xdr:colOff>
      <xdr:row>20</xdr:row>
      <xdr:rowOff>84119</xdr:rowOff>
    </xdr:to>
    <xdr:pic>
      <xdr:nvPicPr>
        <xdr:cNvPr id="3" name="Picture 2" descr="Chiltern Teaching School on X">
          <a:extLst>
            <a:ext uri="{FF2B5EF4-FFF2-40B4-BE49-F238E27FC236}">
              <a16:creationId xmlns:a16="http://schemas.microsoft.com/office/drawing/2014/main" id="{E74C43ED-E96B-4F5C-A672-F05196AD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1543050"/>
          <a:ext cx="4060916" cy="305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215900</xdr:colOff>
      <xdr:row>7</xdr:row>
      <xdr:rowOff>12700</xdr:rowOff>
    </xdr:from>
    <xdr:to>
      <xdr:col>8</xdr:col>
      <xdr:colOff>825500</xdr:colOff>
      <xdr:row>14</xdr:row>
      <xdr:rowOff>190500</xdr:rowOff>
    </xdr:to>
    <xdr:pic>
      <xdr:nvPicPr>
        <xdr:cNvPr id="3" name="Picture 2" descr="mage result for ticket clip 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1511300"/>
          <a:ext cx="2286000" cy="1600200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0</xdr:row>
      <xdr:rowOff>19050</xdr:rowOff>
    </xdr:from>
    <xdr:to>
      <xdr:col>14</xdr:col>
      <xdr:colOff>793841</xdr:colOff>
      <xdr:row>14</xdr:row>
      <xdr:rowOff>169844</xdr:rowOff>
    </xdr:to>
    <xdr:pic>
      <xdr:nvPicPr>
        <xdr:cNvPr id="4" name="Picture 3" descr="Chiltern Teaching School on X">
          <a:extLst>
            <a:ext uri="{FF2B5EF4-FFF2-40B4-BE49-F238E27FC236}">
              <a16:creationId xmlns:a16="http://schemas.microsoft.com/office/drawing/2014/main" id="{C4411AED-10BA-4FFC-86CB-74D43596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9050"/>
          <a:ext cx="4060916" cy="305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393700</xdr:colOff>
      <xdr:row>9</xdr:row>
      <xdr:rowOff>190500</xdr:rowOff>
    </xdr:from>
    <xdr:to>
      <xdr:col>12</xdr:col>
      <xdr:colOff>267765</xdr:colOff>
      <xdr:row>21</xdr:row>
      <xdr:rowOff>25400</xdr:rowOff>
    </xdr:to>
    <xdr:pic>
      <xdr:nvPicPr>
        <xdr:cNvPr id="2" name="Picture 1" descr="mage result for lighting directo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58" t="3504" r="8163" b="16172"/>
        <a:stretch/>
      </xdr:blipFill>
      <xdr:spPr bwMode="auto">
        <a:xfrm>
          <a:off x="8369300" y="2095500"/>
          <a:ext cx="3226865" cy="2273300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711200</xdr:colOff>
      <xdr:row>7</xdr:row>
      <xdr:rowOff>107058</xdr:rowOff>
    </xdr:from>
    <xdr:to>
      <xdr:col>9</xdr:col>
      <xdr:colOff>825500</xdr:colOff>
      <xdr:row>17</xdr:row>
      <xdr:rowOff>1826</xdr:rowOff>
    </xdr:to>
    <xdr:pic>
      <xdr:nvPicPr>
        <xdr:cNvPr id="2" name="Picture 1" descr="mage result for X-factor show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605658"/>
          <a:ext cx="3467100" cy="1952168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809625</xdr:colOff>
      <xdr:row>45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3324225" y="451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7</xdr:col>
      <xdr:colOff>219528</xdr:colOff>
      <xdr:row>2</xdr:row>
      <xdr:rowOff>190500</xdr:rowOff>
    </xdr:from>
    <xdr:to>
      <xdr:col>9</xdr:col>
      <xdr:colOff>393699</xdr:colOff>
      <xdr:row>11</xdr:row>
      <xdr:rowOff>177800</xdr:rowOff>
    </xdr:to>
    <xdr:pic>
      <xdr:nvPicPr>
        <xdr:cNvPr id="5" name="Picture 4" descr="mage result for bruno mars x-factor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2228" y="685800"/>
          <a:ext cx="1850571" cy="2590800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12</xdr:row>
      <xdr:rowOff>63499</xdr:rowOff>
    </xdr:from>
    <xdr:to>
      <xdr:col>10</xdr:col>
      <xdr:colOff>292100</xdr:colOff>
      <xdr:row>23</xdr:row>
      <xdr:rowOff>166527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3200" y="3378199"/>
          <a:ext cx="3416300" cy="236045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478366</xdr:colOff>
      <xdr:row>2</xdr:row>
      <xdr:rowOff>190500</xdr:rowOff>
    </xdr:from>
    <xdr:to>
      <xdr:col>12</xdr:col>
      <xdr:colOff>406399</xdr:colOff>
      <xdr:row>11</xdr:row>
      <xdr:rowOff>203200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57466" y="685800"/>
          <a:ext cx="4360333" cy="26162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809625</xdr:colOff>
      <xdr:row>30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4438650" y="451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1"/>
  <sheetViews>
    <sheetView showGridLines="0" zoomScale="80" zoomScaleNormal="80" workbookViewId="0">
      <selection activeCell="G16" sqref="G16:I16"/>
    </sheetView>
  </sheetViews>
  <sheetFormatPr defaultColWidth="11" defaultRowHeight="15.75" x14ac:dyDescent="0.25"/>
  <cols>
    <col min="1" max="1" width="27.875" customWidth="1"/>
  </cols>
  <sheetData>
    <row r="1" spans="1:15" ht="16.5" thickBot="1" x14ac:dyDescent="0.3">
      <c r="A1" s="5"/>
    </row>
    <row r="2" spans="1:15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x14ac:dyDescent="0.25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2.95" customHeight="1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ht="12.95" customHeight="1" x14ac:dyDescent="0.2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 x14ac:dyDescent="0.25">
      <c r="B7" s="9"/>
      <c r="C7" s="12" t="s">
        <v>53</v>
      </c>
      <c r="D7" s="13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 x14ac:dyDescent="0.25">
      <c r="B9" s="9"/>
      <c r="C9" s="86" t="s">
        <v>10</v>
      </c>
      <c r="D9" s="87"/>
      <c r="E9" s="88" t="s">
        <v>28</v>
      </c>
      <c r="F9" s="89"/>
      <c r="G9" s="89"/>
      <c r="H9" s="89"/>
      <c r="I9" s="89"/>
      <c r="J9" s="89"/>
      <c r="K9" s="89"/>
      <c r="L9" s="89"/>
      <c r="M9" s="90"/>
      <c r="N9" s="10"/>
      <c r="O9" s="11"/>
    </row>
    <row r="10" spans="1:15" x14ac:dyDescent="0.25">
      <c r="B10" s="9"/>
      <c r="C10" s="10"/>
      <c r="D10" s="10"/>
      <c r="E10" s="91" t="s">
        <v>89</v>
      </c>
      <c r="F10" s="92"/>
      <c r="G10" s="92"/>
      <c r="H10" s="92"/>
      <c r="I10" s="92"/>
      <c r="J10" s="92"/>
      <c r="K10" s="92"/>
      <c r="L10" s="92"/>
      <c r="M10" s="93"/>
      <c r="N10" s="10"/>
      <c r="O10" s="11"/>
    </row>
    <row r="11" spans="1:15" x14ac:dyDescent="0.25">
      <c r="B11" s="9"/>
      <c r="C11" s="10"/>
      <c r="D11" s="10"/>
      <c r="E11" s="94" t="s">
        <v>90</v>
      </c>
      <c r="F11" s="95"/>
      <c r="G11" s="95"/>
      <c r="H11" s="95"/>
      <c r="I11" s="95"/>
      <c r="J11" s="95"/>
      <c r="K11" s="95"/>
      <c r="L11" s="95"/>
      <c r="M11" s="96"/>
      <c r="N11" s="10"/>
      <c r="O11" s="11"/>
    </row>
    <row r="12" spans="1:15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 x14ac:dyDescent="0.25">
      <c r="B13" s="9"/>
      <c r="C13" s="97" t="s">
        <v>11</v>
      </c>
      <c r="D13" s="97"/>
      <c r="E13" s="80" t="s">
        <v>13</v>
      </c>
      <c r="F13" s="81"/>
      <c r="G13" s="81"/>
      <c r="H13" s="81"/>
      <c r="I13" s="81"/>
      <c r="J13" s="81"/>
      <c r="K13" s="81"/>
      <c r="L13" s="81"/>
      <c r="M13" s="82"/>
      <c r="N13" s="10"/>
      <c r="O13" s="11"/>
    </row>
    <row r="14" spans="1:15" x14ac:dyDescent="0.25">
      <c r="B14" s="9"/>
      <c r="C14" s="10"/>
      <c r="D14" s="10"/>
      <c r="E14" s="80" t="s">
        <v>14</v>
      </c>
      <c r="F14" s="81"/>
      <c r="G14" s="81"/>
      <c r="H14" s="81"/>
      <c r="I14" s="81"/>
      <c r="J14" s="81"/>
      <c r="K14" s="81"/>
      <c r="L14" s="81"/>
      <c r="M14" s="82"/>
      <c r="N14" s="10"/>
      <c r="O14" s="11"/>
    </row>
    <row r="15" spans="1:15" ht="16.5" thickBo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 ht="27" customHeight="1" thickBot="1" x14ac:dyDescent="0.3">
      <c r="B16" s="9"/>
      <c r="C16" s="10"/>
      <c r="D16" s="10"/>
      <c r="E16" s="10"/>
      <c r="F16" s="10"/>
      <c r="G16" s="83" t="s">
        <v>12</v>
      </c>
      <c r="H16" s="84"/>
      <c r="I16" s="85"/>
      <c r="J16" s="10"/>
      <c r="K16" s="10"/>
      <c r="L16" s="10"/>
      <c r="M16" s="10"/>
      <c r="N16" s="10"/>
      <c r="O16" s="11"/>
    </row>
    <row r="17" spans="2:15" ht="20.100000000000001" customHeight="1" x14ac:dyDescent="0.25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ht="15" hidden="1" customHeight="1" x14ac:dyDescent="0.25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ht="15" hidden="1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ht="15" hidden="1" customHeight="1" x14ac:dyDescent="0.25">
      <c r="B20" s="9"/>
      <c r="C20" s="10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0"/>
      <c r="O20" s="11"/>
    </row>
    <row r="21" spans="2:15" ht="15" customHeight="1" thickBot="1" x14ac:dyDescent="0.3"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</row>
  </sheetData>
  <mergeCells count="8">
    <mergeCell ref="E14:M14"/>
    <mergeCell ref="G16:I16"/>
    <mergeCell ref="C9:D9"/>
    <mergeCell ref="E9:M9"/>
    <mergeCell ref="E10:M10"/>
    <mergeCell ref="E11:M11"/>
    <mergeCell ref="C13:D13"/>
    <mergeCell ref="E13:M13"/>
  </mergeCells>
  <hyperlinks>
    <hyperlink ref="G16" location="'Level 4'!A1" display="Start on Level 4 Task" xr:uid="{00000000-0004-0000-0000-000000000000}"/>
    <hyperlink ref="H16" location="'Level 4'!A1" display="'Level 4'!A1" xr:uid="{00000000-0004-0000-0000-000001000000}"/>
    <hyperlink ref="I16" location="'Level 4'!A1" display="'Level 4'!A1" xr:uid="{00000000-0004-0000-0000-000002000000}"/>
    <hyperlink ref="G16:I16" location="'Tasg 1'!A1" display="Start Task 1" xr:uid="{00000000-0004-0000-0000-000003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J18"/>
  <sheetViews>
    <sheetView workbookViewId="0">
      <selection activeCell="I8" sqref="I8"/>
    </sheetView>
  </sheetViews>
  <sheetFormatPr defaultColWidth="11" defaultRowHeight="15.75" x14ac:dyDescent="0.25"/>
  <cols>
    <col min="2" max="2" width="18.25" customWidth="1"/>
    <col min="3" max="3" width="13.375" customWidth="1"/>
    <col min="4" max="4" width="19.5" bestFit="1" customWidth="1"/>
    <col min="5" max="5" width="19.625" customWidth="1"/>
  </cols>
  <sheetData>
    <row r="1" spans="2:10" ht="16.5" thickBot="1" x14ac:dyDescent="0.3"/>
    <row r="2" spans="2:10" ht="21.75" thickBot="1" x14ac:dyDescent="0.4">
      <c r="B2" s="98" t="s">
        <v>119</v>
      </c>
      <c r="C2" s="99"/>
      <c r="D2" s="99"/>
      <c r="E2" s="99"/>
      <c r="F2" s="99"/>
      <c r="G2" s="99"/>
      <c r="H2" s="99"/>
      <c r="I2" s="99"/>
      <c r="J2" s="100"/>
    </row>
    <row r="3" spans="2:10" ht="16.5" thickBot="1" x14ac:dyDescent="0.3"/>
    <row r="4" spans="2:10" x14ac:dyDescent="0.25">
      <c r="B4" s="29" t="s">
        <v>127</v>
      </c>
      <c r="C4" s="30"/>
      <c r="D4" s="30"/>
      <c r="E4" s="30"/>
      <c r="F4" s="30"/>
      <c r="G4" s="30"/>
      <c r="H4" s="30"/>
      <c r="I4" s="30"/>
      <c r="J4" s="31"/>
    </row>
    <row r="5" spans="2:10" x14ac:dyDescent="0.25">
      <c r="B5" s="32" t="s">
        <v>129</v>
      </c>
      <c r="C5" s="33"/>
      <c r="D5" s="33"/>
      <c r="E5" s="33"/>
      <c r="F5" s="33"/>
      <c r="G5" s="33"/>
      <c r="H5" s="33"/>
      <c r="I5" s="33"/>
      <c r="J5" s="34"/>
    </row>
    <row r="6" spans="2:10" ht="16.5" thickBot="1" x14ac:dyDescent="0.3">
      <c r="B6" s="35" t="s">
        <v>128</v>
      </c>
      <c r="C6" s="36"/>
      <c r="D6" s="36"/>
      <c r="E6" s="36"/>
      <c r="F6" s="36"/>
      <c r="G6" s="36"/>
      <c r="H6" s="36"/>
      <c r="I6" s="36"/>
      <c r="J6" s="37"/>
    </row>
    <row r="8" spans="2:10" x14ac:dyDescent="0.25">
      <c r="B8" s="101" t="s">
        <v>130</v>
      </c>
      <c r="C8" s="101"/>
      <c r="D8" s="101"/>
      <c r="E8" s="101"/>
    </row>
    <row r="10" spans="2:10" ht="21" x14ac:dyDescent="0.35">
      <c r="B10" s="69" t="s">
        <v>120</v>
      </c>
      <c r="C10" s="69" t="s">
        <v>121</v>
      </c>
      <c r="D10" s="3"/>
      <c r="E10" s="48"/>
    </row>
    <row r="11" spans="2:10" ht="18.75" x14ac:dyDescent="0.3">
      <c r="B11" s="70" t="s">
        <v>122</v>
      </c>
      <c r="C11" s="71">
        <v>306</v>
      </c>
      <c r="D11" s="3"/>
      <c r="E11" s="4"/>
    </row>
    <row r="12" spans="2:10" ht="18.75" x14ac:dyDescent="0.3">
      <c r="B12" s="72" t="s">
        <v>123</v>
      </c>
      <c r="C12" s="71">
        <v>1600</v>
      </c>
      <c r="D12" s="3"/>
      <c r="E12" s="4"/>
    </row>
    <row r="13" spans="2:10" ht="18.75" x14ac:dyDescent="0.3">
      <c r="B13" s="73" t="s">
        <v>124</v>
      </c>
      <c r="C13" s="71">
        <v>250</v>
      </c>
      <c r="D13" s="3"/>
      <c r="E13" s="4"/>
    </row>
    <row r="14" spans="2:10" ht="18.75" x14ac:dyDescent="0.3">
      <c r="B14" s="74" t="s">
        <v>125</v>
      </c>
      <c r="C14" s="75">
        <v>80</v>
      </c>
      <c r="D14" s="3"/>
      <c r="E14" s="4"/>
    </row>
    <row r="15" spans="2:10" ht="18.75" x14ac:dyDescent="0.3">
      <c r="B15" s="76" t="s">
        <v>126</v>
      </c>
      <c r="C15" s="71">
        <v>120</v>
      </c>
      <c r="D15" s="3"/>
      <c r="E15" s="4"/>
    </row>
    <row r="16" spans="2:10" x14ac:dyDescent="0.25">
      <c r="B16" s="3"/>
      <c r="C16" s="3"/>
      <c r="D16" s="3"/>
      <c r="E16" s="4"/>
    </row>
    <row r="17" spans="2:5" ht="16.5" thickBot="1" x14ac:dyDescent="0.3">
      <c r="B17" s="3"/>
      <c r="C17" s="3"/>
      <c r="D17" s="3"/>
      <c r="E17" s="3"/>
    </row>
    <row r="18" spans="2:5" ht="16.5" thickBot="1" x14ac:dyDescent="0.3">
      <c r="C18" s="83" t="s">
        <v>22</v>
      </c>
      <c r="D18" s="84"/>
      <c r="E18" s="85"/>
    </row>
  </sheetData>
  <mergeCells count="3">
    <mergeCell ref="B2:J2"/>
    <mergeCell ref="B8:E8"/>
    <mergeCell ref="C18:E18"/>
  </mergeCells>
  <hyperlinks>
    <hyperlink ref="C18" location="'Level 4'!A1" display="Start on Level 4 Task" xr:uid="{00000000-0004-0000-0100-000000000000}"/>
    <hyperlink ref="D18" location="'Level 4'!A1" display="'Level 4'!A1" xr:uid="{00000000-0004-0000-0100-000001000000}"/>
    <hyperlink ref="E18" location="'Level 4'!A1" display="'Level 4'!A1" xr:uid="{00000000-0004-0000-0100-000002000000}"/>
    <hyperlink ref="C18:E18" location="'Tasg 2'!A1" display="Go to Task 2" xr:uid="{00000000-0004-0000-0100-000003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J25"/>
  <sheetViews>
    <sheetView workbookViewId="0">
      <selection activeCell="H10" sqref="H10"/>
    </sheetView>
  </sheetViews>
  <sheetFormatPr defaultColWidth="11" defaultRowHeight="15.75" x14ac:dyDescent="0.25"/>
  <cols>
    <col min="2" max="2" width="18.25" customWidth="1"/>
    <col min="3" max="3" width="13.375" customWidth="1"/>
    <col min="4" max="4" width="19.5" bestFit="1" customWidth="1"/>
    <col min="5" max="5" width="19.625" customWidth="1"/>
  </cols>
  <sheetData>
    <row r="1" spans="2:10" ht="16.5" thickBot="1" x14ac:dyDescent="0.3"/>
    <row r="2" spans="2:10" ht="21.75" thickBot="1" x14ac:dyDescent="0.4">
      <c r="B2" s="102" t="s">
        <v>131</v>
      </c>
      <c r="C2" s="103"/>
      <c r="D2" s="103"/>
      <c r="E2" s="103"/>
      <c r="F2" s="103"/>
      <c r="G2" s="103"/>
      <c r="H2" s="103"/>
      <c r="I2" s="103"/>
      <c r="J2" s="104"/>
    </row>
    <row r="3" spans="2:10" ht="16.5" thickBot="1" x14ac:dyDescent="0.3"/>
    <row r="4" spans="2:10" x14ac:dyDescent="0.25">
      <c r="B4" s="29" t="s">
        <v>132</v>
      </c>
      <c r="C4" s="30"/>
      <c r="D4" s="30"/>
      <c r="E4" s="30"/>
      <c r="F4" s="30"/>
      <c r="G4" s="30"/>
      <c r="H4" s="30"/>
      <c r="I4" s="30"/>
      <c r="J4" s="31"/>
    </row>
    <row r="5" spans="2:10" x14ac:dyDescent="0.25">
      <c r="B5" s="32" t="s">
        <v>129</v>
      </c>
      <c r="C5" s="33"/>
      <c r="D5" s="33"/>
      <c r="E5" s="33"/>
      <c r="F5" s="33"/>
      <c r="G5" s="33"/>
      <c r="H5" s="33"/>
      <c r="I5" s="33"/>
      <c r="J5" s="34"/>
    </row>
    <row r="6" spans="2:10" ht="16.5" thickBot="1" x14ac:dyDescent="0.3">
      <c r="B6" s="35" t="s">
        <v>128</v>
      </c>
      <c r="C6" s="36"/>
      <c r="D6" s="36"/>
      <c r="E6" s="36"/>
      <c r="F6" s="36"/>
      <c r="G6" s="36"/>
      <c r="H6" s="36"/>
      <c r="I6" s="36"/>
      <c r="J6" s="37"/>
    </row>
    <row r="8" spans="2:10" x14ac:dyDescent="0.25">
      <c r="B8" s="101" t="s">
        <v>133</v>
      </c>
      <c r="C8" s="101"/>
      <c r="D8" s="101"/>
      <c r="E8" s="101"/>
    </row>
    <row r="10" spans="2:10" ht="21" x14ac:dyDescent="0.35">
      <c r="B10" s="69" t="s">
        <v>134</v>
      </c>
      <c r="C10" s="69" t="s">
        <v>135</v>
      </c>
      <c r="D10" s="3"/>
      <c r="E10" s="48"/>
    </row>
    <row r="11" spans="2:10" ht="18.75" x14ac:dyDescent="0.3">
      <c r="B11" s="77" t="s">
        <v>136</v>
      </c>
      <c r="C11" s="71">
        <v>3</v>
      </c>
      <c r="D11" s="3"/>
      <c r="E11" s="4"/>
    </row>
    <row r="12" spans="2:10" ht="18.75" x14ac:dyDescent="0.3">
      <c r="B12" s="77" t="s">
        <v>137</v>
      </c>
      <c r="C12" s="75">
        <v>5</v>
      </c>
      <c r="D12" s="3"/>
      <c r="E12" s="4"/>
    </row>
    <row r="13" spans="2:10" ht="18.75" x14ac:dyDescent="0.3">
      <c r="B13" s="77" t="s">
        <v>138</v>
      </c>
      <c r="C13" s="75">
        <v>8</v>
      </c>
      <c r="D13" s="3"/>
      <c r="E13" s="4"/>
    </row>
    <row r="14" spans="2:10" ht="18.75" x14ac:dyDescent="0.3">
      <c r="B14" s="78" t="s">
        <v>139</v>
      </c>
      <c r="C14" s="75">
        <v>3</v>
      </c>
      <c r="D14" s="3"/>
      <c r="E14" s="4"/>
    </row>
    <row r="15" spans="2:10" ht="18.75" x14ac:dyDescent="0.3">
      <c r="B15" s="77" t="s">
        <v>140</v>
      </c>
      <c r="C15" s="75">
        <v>2</v>
      </c>
      <c r="D15" s="3"/>
      <c r="E15" s="4"/>
    </row>
    <row r="16" spans="2:10" ht="18.75" x14ac:dyDescent="0.3">
      <c r="B16" s="77" t="s">
        <v>141</v>
      </c>
      <c r="C16" s="79">
        <v>6</v>
      </c>
      <c r="D16" s="3"/>
      <c r="E16" s="4"/>
    </row>
    <row r="17" spans="2:5" ht="18.75" x14ac:dyDescent="0.3">
      <c r="B17" s="77" t="s">
        <v>142</v>
      </c>
      <c r="C17" s="79">
        <v>5</v>
      </c>
      <c r="D17" s="3"/>
      <c r="E17" s="3"/>
    </row>
    <row r="18" spans="2:5" ht="18.75" x14ac:dyDescent="0.3">
      <c r="B18" s="77" t="s">
        <v>143</v>
      </c>
      <c r="C18" s="75">
        <v>1</v>
      </c>
    </row>
    <row r="19" spans="2:5" ht="18.75" x14ac:dyDescent="0.3">
      <c r="B19" s="77" t="s">
        <v>144</v>
      </c>
      <c r="C19" s="75">
        <v>0</v>
      </c>
    </row>
    <row r="24" spans="2:5" ht="16.5" thickBot="1" x14ac:dyDescent="0.3"/>
    <row r="25" spans="2:5" ht="16.5" thickBot="1" x14ac:dyDescent="0.3">
      <c r="C25" s="83" t="s">
        <v>23</v>
      </c>
      <c r="D25" s="84"/>
      <c r="E25" s="85"/>
    </row>
  </sheetData>
  <mergeCells count="3">
    <mergeCell ref="B2:J2"/>
    <mergeCell ref="B8:E8"/>
    <mergeCell ref="C25:E25"/>
  </mergeCells>
  <hyperlinks>
    <hyperlink ref="C25" location="'Level 4'!A1" display="Start on Level 4 Task" xr:uid="{00000000-0004-0000-0200-000000000000}"/>
    <hyperlink ref="D25" location="'Level 4'!A1" display="'Level 4'!A1" xr:uid="{00000000-0004-0000-0200-000001000000}"/>
    <hyperlink ref="E25" location="'Level 4'!A1" display="'Level 4'!A1" xr:uid="{00000000-0004-0000-0200-000002000000}"/>
    <hyperlink ref="C25:E25" location="'Tasg 3'!A1" display="Go to Task 3" xr:uid="{00000000-0004-0000-0200-000003000000}"/>
  </hyperlink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J18"/>
  <sheetViews>
    <sheetView tabSelected="1" workbookViewId="0">
      <selection activeCell="J12" sqref="J12"/>
    </sheetView>
  </sheetViews>
  <sheetFormatPr defaultColWidth="11" defaultRowHeight="15.75" x14ac:dyDescent="0.25"/>
  <cols>
    <col min="3" max="3" width="12.5" bestFit="1" customWidth="1"/>
    <col min="4" max="4" width="19.5" bestFit="1" customWidth="1"/>
    <col min="5" max="5" width="19.625" customWidth="1"/>
  </cols>
  <sheetData>
    <row r="1" spans="2:10" ht="16.5" thickBot="1" x14ac:dyDescent="0.3"/>
    <row r="2" spans="2:10" ht="21.75" thickBot="1" x14ac:dyDescent="0.4">
      <c r="B2" s="98" t="s">
        <v>145</v>
      </c>
      <c r="C2" s="99"/>
      <c r="D2" s="99"/>
      <c r="E2" s="99"/>
      <c r="F2" s="99"/>
      <c r="G2" s="99"/>
      <c r="H2" s="99"/>
      <c r="I2" s="99"/>
      <c r="J2" s="100"/>
    </row>
    <row r="3" spans="2:10" ht="16.5" thickBot="1" x14ac:dyDescent="0.3"/>
    <row r="4" spans="2:10" x14ac:dyDescent="0.25">
      <c r="B4" s="29" t="s">
        <v>50</v>
      </c>
      <c r="C4" s="30"/>
      <c r="D4" s="30"/>
      <c r="E4" s="30"/>
      <c r="F4" s="30"/>
      <c r="G4" s="30"/>
      <c r="H4" s="30"/>
      <c r="I4" s="30"/>
      <c r="J4" s="31"/>
    </row>
    <row r="5" spans="2:10" x14ac:dyDescent="0.25">
      <c r="B5" s="32" t="s">
        <v>51</v>
      </c>
      <c r="C5" s="33"/>
      <c r="D5" s="33"/>
      <c r="E5" s="33"/>
      <c r="F5" s="33"/>
      <c r="G5" s="33"/>
      <c r="H5" s="33"/>
      <c r="I5" s="33"/>
      <c r="J5" s="34"/>
    </row>
    <row r="6" spans="2:10" ht="16.5" thickBot="1" x14ac:dyDescent="0.3">
      <c r="B6" s="35" t="s">
        <v>52</v>
      </c>
      <c r="C6" s="36"/>
      <c r="D6" s="36"/>
      <c r="E6" s="36"/>
      <c r="F6" s="36"/>
      <c r="G6" s="36"/>
      <c r="H6" s="36"/>
      <c r="I6" s="36"/>
      <c r="J6" s="37"/>
    </row>
    <row r="8" spans="2:10" x14ac:dyDescent="0.25">
      <c r="B8" s="101" t="s">
        <v>54</v>
      </c>
      <c r="C8" s="101"/>
      <c r="D8" s="101"/>
      <c r="E8" s="101"/>
    </row>
    <row r="10" spans="2:10" x14ac:dyDescent="0.25">
      <c r="B10" s="3" t="s">
        <v>1</v>
      </c>
      <c r="C10" s="3" t="s">
        <v>2</v>
      </c>
      <c r="D10" s="3" t="s">
        <v>3</v>
      </c>
      <c r="E10" s="48" t="s">
        <v>4</v>
      </c>
    </row>
    <row r="11" spans="2:10" x14ac:dyDescent="0.25">
      <c r="B11" s="3" t="s">
        <v>5</v>
      </c>
      <c r="C11" s="4">
        <v>95</v>
      </c>
      <c r="D11" s="3">
        <v>162</v>
      </c>
      <c r="E11" s="4">
        <f>C11*D11</f>
        <v>15390</v>
      </c>
    </row>
    <row r="12" spans="2:10" x14ac:dyDescent="0.25">
      <c r="B12" s="3" t="s">
        <v>6</v>
      </c>
      <c r="C12" s="4">
        <v>50</v>
      </c>
      <c r="D12" s="3">
        <v>53</v>
      </c>
      <c r="E12" s="4">
        <f t="shared" ref="E12:E15" si="0">C12*D12</f>
        <v>2650</v>
      </c>
    </row>
    <row r="13" spans="2:10" x14ac:dyDescent="0.25">
      <c r="B13" s="3" t="s">
        <v>7</v>
      </c>
      <c r="C13" s="4">
        <v>45</v>
      </c>
      <c r="D13" s="3">
        <v>82</v>
      </c>
      <c r="E13" s="4">
        <f t="shared" si="0"/>
        <v>3690</v>
      </c>
    </row>
    <row r="14" spans="2:10" x14ac:dyDescent="0.25">
      <c r="B14" s="3" t="s">
        <v>8</v>
      </c>
      <c r="C14" s="4">
        <v>37.5</v>
      </c>
      <c r="D14" s="3">
        <v>56</v>
      </c>
      <c r="E14" s="4">
        <f t="shared" si="0"/>
        <v>2100</v>
      </c>
    </row>
    <row r="15" spans="2:10" x14ac:dyDescent="0.25">
      <c r="B15" s="3" t="s">
        <v>9</v>
      </c>
      <c r="C15" s="4">
        <v>50</v>
      </c>
      <c r="D15" s="3">
        <v>15</v>
      </c>
      <c r="E15" s="4">
        <f t="shared" si="0"/>
        <v>750</v>
      </c>
    </row>
    <row r="16" spans="2:10" x14ac:dyDescent="0.25">
      <c r="B16" s="3"/>
      <c r="C16" s="3"/>
      <c r="D16" s="3">
        <f>SUM(D11:D15)</f>
        <v>368</v>
      </c>
      <c r="E16" s="4">
        <f>SUM(E11:E15)</f>
        <v>24580</v>
      </c>
    </row>
    <row r="17" spans="2:5" ht="16.5" thickBot="1" x14ac:dyDescent="0.3">
      <c r="B17" s="3"/>
      <c r="C17" s="3"/>
      <c r="D17" s="3"/>
      <c r="E17" s="3"/>
    </row>
    <row r="18" spans="2:5" ht="16.5" thickBot="1" x14ac:dyDescent="0.3">
      <c r="C18" s="83" t="s">
        <v>24</v>
      </c>
      <c r="D18" s="84"/>
      <c r="E18" s="85"/>
    </row>
  </sheetData>
  <mergeCells count="3">
    <mergeCell ref="B8:E8"/>
    <mergeCell ref="C18:E18"/>
    <mergeCell ref="B2:J2"/>
  </mergeCells>
  <hyperlinks>
    <hyperlink ref="C18" location="'Level 4'!A1" display="Start on Level 4 Task" xr:uid="{00000000-0004-0000-0300-000000000000}"/>
    <hyperlink ref="D18" location="'Level 4'!A1" display="'Level 4'!A1" xr:uid="{00000000-0004-0000-0300-000001000000}"/>
    <hyperlink ref="E18" location="'Level 4'!A1" display="'Level 4'!A1" xr:uid="{00000000-0004-0000-0300-000002000000}"/>
    <hyperlink ref="C18:E18" location="'Tasg 4'!A1" display="Go to Task 4" xr:uid="{00000000-0004-0000-0300-000003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J23"/>
  <sheetViews>
    <sheetView workbookViewId="0">
      <selection activeCell="E18" sqref="E18"/>
    </sheetView>
  </sheetViews>
  <sheetFormatPr defaultColWidth="11" defaultRowHeight="15.75" x14ac:dyDescent="0.25"/>
  <cols>
    <col min="2" max="2" width="3.5" customWidth="1"/>
    <col min="3" max="3" width="18.875" customWidth="1"/>
    <col min="4" max="4" width="15.125" bestFit="1" customWidth="1"/>
    <col min="5" max="5" width="17" customWidth="1"/>
    <col min="6" max="6" width="12.625" bestFit="1" customWidth="1"/>
    <col min="7" max="7" width="15.5" customWidth="1"/>
  </cols>
  <sheetData>
    <row r="2" spans="2:10" ht="16.5" thickBot="1" x14ac:dyDescent="0.3"/>
    <row r="3" spans="2:10" ht="21.75" thickBot="1" x14ac:dyDescent="0.4">
      <c r="B3" s="105" t="s">
        <v>146</v>
      </c>
      <c r="C3" s="106"/>
      <c r="D3" s="106"/>
      <c r="E3" s="106"/>
      <c r="F3" s="106"/>
      <c r="G3" s="106"/>
      <c r="H3" s="106"/>
      <c r="I3" s="106"/>
      <c r="J3" s="107"/>
    </row>
    <row r="4" spans="2:10" ht="16.5" thickBot="1" x14ac:dyDescent="0.3"/>
    <row r="5" spans="2:10" x14ac:dyDescent="0.25">
      <c r="B5" s="29" t="s">
        <v>45</v>
      </c>
      <c r="C5" s="30"/>
      <c r="D5" s="30"/>
      <c r="E5" s="30"/>
      <c r="F5" s="30"/>
      <c r="G5" s="30"/>
      <c r="H5" s="30"/>
      <c r="I5" s="30"/>
      <c r="J5" s="31"/>
    </row>
    <row r="6" spans="2:10" x14ac:dyDescent="0.25">
      <c r="B6" s="32" t="s">
        <v>46</v>
      </c>
      <c r="C6" s="33"/>
      <c r="D6" s="33"/>
      <c r="E6" s="33"/>
      <c r="F6" s="33"/>
      <c r="G6" s="33"/>
      <c r="H6" s="33"/>
      <c r="I6" s="33"/>
      <c r="J6" s="34"/>
    </row>
    <row r="7" spans="2:10" x14ac:dyDescent="0.25">
      <c r="B7" s="32" t="s">
        <v>47</v>
      </c>
      <c r="C7" s="33"/>
      <c r="D7" s="33"/>
      <c r="E7" s="33"/>
      <c r="F7" s="33"/>
      <c r="G7" s="33"/>
      <c r="H7" s="33"/>
      <c r="I7" s="33"/>
      <c r="J7" s="34"/>
    </row>
    <row r="8" spans="2:10" x14ac:dyDescent="0.25">
      <c r="B8" s="32" t="s">
        <v>48</v>
      </c>
      <c r="C8" s="33"/>
      <c r="D8" s="33"/>
      <c r="E8" s="33"/>
      <c r="F8" s="33"/>
      <c r="G8" s="33"/>
      <c r="H8" s="33"/>
      <c r="I8" s="33"/>
      <c r="J8" s="34"/>
    </row>
    <row r="9" spans="2:10" ht="16.5" thickBot="1" x14ac:dyDescent="0.3">
      <c r="B9" s="35" t="s">
        <v>49</v>
      </c>
      <c r="C9" s="36"/>
      <c r="D9" s="36"/>
      <c r="E9" s="36"/>
      <c r="F9" s="36"/>
      <c r="G9" s="36"/>
      <c r="H9" s="36"/>
      <c r="I9" s="36"/>
      <c r="J9" s="37"/>
    </row>
    <row r="11" spans="2:10" x14ac:dyDescent="0.25">
      <c r="C11" s="108" t="s">
        <v>55</v>
      </c>
      <c r="D11" s="109"/>
      <c r="E11" s="109"/>
      <c r="F11" s="109"/>
      <c r="G11" s="109"/>
      <c r="H11" s="110"/>
    </row>
    <row r="12" spans="2:10" x14ac:dyDescent="0.25">
      <c r="C12" s="17" t="s">
        <v>15</v>
      </c>
      <c r="D12" t="s">
        <v>16</v>
      </c>
      <c r="E12" t="s">
        <v>17</v>
      </c>
      <c r="F12" s="1" t="s">
        <v>18</v>
      </c>
      <c r="G12" t="s">
        <v>19</v>
      </c>
      <c r="H12" t="s">
        <v>20</v>
      </c>
    </row>
    <row r="13" spans="2:10" x14ac:dyDescent="0.25">
      <c r="B13" s="22"/>
      <c r="C13" s="21" t="s">
        <v>56</v>
      </c>
      <c r="D13" s="2">
        <v>13</v>
      </c>
      <c r="E13">
        <v>30</v>
      </c>
      <c r="F13" s="2">
        <f>E13*D13</f>
        <v>390</v>
      </c>
      <c r="G13" s="2">
        <f>F13*0.2</f>
        <v>78</v>
      </c>
      <c r="H13" s="2">
        <f>F13-G13</f>
        <v>312</v>
      </c>
    </row>
    <row r="14" spans="2:10" x14ac:dyDescent="0.25">
      <c r="B14" s="23"/>
      <c r="C14" s="21" t="s">
        <v>57</v>
      </c>
      <c r="D14" s="2">
        <v>45</v>
      </c>
      <c r="E14">
        <v>120</v>
      </c>
      <c r="F14" s="2">
        <f t="shared" ref="F14:F19" si="0">E14*D14</f>
        <v>5400</v>
      </c>
      <c r="G14" s="2">
        <f t="shared" ref="G14:G19" si="1">F14*0.2</f>
        <v>1080</v>
      </c>
      <c r="H14" s="2">
        <f t="shared" ref="H14:H19" si="2">F14-G14</f>
        <v>4320</v>
      </c>
    </row>
    <row r="15" spans="2:10" x14ac:dyDescent="0.25">
      <c r="B15" s="24"/>
      <c r="C15" s="21" t="s">
        <v>58</v>
      </c>
      <c r="D15" s="2">
        <v>19</v>
      </c>
      <c r="E15">
        <v>80</v>
      </c>
      <c r="F15" s="2">
        <f t="shared" si="0"/>
        <v>1520</v>
      </c>
      <c r="G15" s="2">
        <f t="shared" si="1"/>
        <v>304</v>
      </c>
      <c r="H15" s="2">
        <f t="shared" si="2"/>
        <v>1216</v>
      </c>
    </row>
    <row r="16" spans="2:10" x14ac:dyDescent="0.25">
      <c r="B16" s="25"/>
      <c r="C16" s="21" t="s">
        <v>59</v>
      </c>
      <c r="D16" s="2">
        <v>36</v>
      </c>
      <c r="E16">
        <v>80</v>
      </c>
      <c r="F16" s="2">
        <f t="shared" si="0"/>
        <v>2880</v>
      </c>
      <c r="G16" s="2">
        <f t="shared" si="1"/>
        <v>576</v>
      </c>
      <c r="H16" s="2">
        <f t="shared" si="2"/>
        <v>2304</v>
      </c>
    </row>
    <row r="17" spans="2:8" x14ac:dyDescent="0.25">
      <c r="B17" s="26"/>
      <c r="C17" s="21" t="s">
        <v>60</v>
      </c>
      <c r="D17" s="2">
        <v>15</v>
      </c>
      <c r="E17">
        <v>65</v>
      </c>
      <c r="F17" s="2">
        <f t="shared" si="0"/>
        <v>975</v>
      </c>
      <c r="G17" s="2">
        <f t="shared" si="1"/>
        <v>195</v>
      </c>
      <c r="H17" s="2">
        <f t="shared" si="2"/>
        <v>780</v>
      </c>
    </row>
    <row r="18" spans="2:8" x14ac:dyDescent="0.25">
      <c r="B18" s="27"/>
      <c r="C18" s="21" t="s">
        <v>61</v>
      </c>
      <c r="D18" s="2">
        <v>57</v>
      </c>
      <c r="E18">
        <v>65</v>
      </c>
      <c r="F18" s="2">
        <f t="shared" si="0"/>
        <v>3705</v>
      </c>
      <c r="G18" s="2">
        <f t="shared" si="1"/>
        <v>741</v>
      </c>
      <c r="H18" s="2">
        <f t="shared" si="2"/>
        <v>2964</v>
      </c>
    </row>
    <row r="19" spans="2:8" x14ac:dyDescent="0.25">
      <c r="B19" s="28"/>
      <c r="C19" s="21" t="s">
        <v>62</v>
      </c>
      <c r="D19" s="2">
        <v>42</v>
      </c>
      <c r="E19">
        <v>70</v>
      </c>
      <c r="F19" s="2">
        <f t="shared" si="0"/>
        <v>2940</v>
      </c>
      <c r="G19" s="2">
        <f t="shared" si="1"/>
        <v>588</v>
      </c>
      <c r="H19" s="2">
        <f t="shared" si="2"/>
        <v>2352</v>
      </c>
    </row>
    <row r="20" spans="2:8" x14ac:dyDescent="0.25">
      <c r="E20" s="18" t="s">
        <v>21</v>
      </c>
      <c r="F20" s="19">
        <f>SUM(F13:F19)</f>
        <v>17810</v>
      </c>
      <c r="G20" s="20">
        <f>SUM(G13:G19)</f>
        <v>3562</v>
      </c>
      <c r="H20" s="20">
        <f>SUM(H13:H19)</f>
        <v>14248</v>
      </c>
    </row>
    <row r="22" spans="2:8" ht="16.5" thickBot="1" x14ac:dyDescent="0.3"/>
    <row r="23" spans="2:8" ht="16.5" thickBot="1" x14ac:dyDescent="0.3">
      <c r="C23" s="83" t="s">
        <v>25</v>
      </c>
      <c r="D23" s="84"/>
      <c r="E23" s="84"/>
      <c r="F23" s="84"/>
      <c r="G23" s="84"/>
      <c r="H23" s="85"/>
    </row>
  </sheetData>
  <mergeCells count="3">
    <mergeCell ref="B3:J3"/>
    <mergeCell ref="C11:H11"/>
    <mergeCell ref="C23:H23"/>
  </mergeCells>
  <hyperlinks>
    <hyperlink ref="C23" location="'Level 4'!A1" display="Start on Level 4 Task" xr:uid="{00000000-0004-0000-0400-000000000000}"/>
    <hyperlink ref="C23:E23" location="'Task 3'!A1" display="Go to Task 3" xr:uid="{00000000-0004-0000-0400-000001000000}"/>
    <hyperlink ref="C23:H23" location="'Tasg 5'!A1" display="Go to Task 5" xr:uid="{00000000-0004-0000-0400-000002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J17"/>
  <sheetViews>
    <sheetView workbookViewId="0">
      <selection activeCell="G20" sqref="G20"/>
    </sheetView>
  </sheetViews>
  <sheetFormatPr defaultColWidth="11" defaultRowHeight="15.75" x14ac:dyDescent="0.25"/>
  <cols>
    <col min="2" max="2" width="14.625" customWidth="1"/>
  </cols>
  <sheetData>
    <row r="1" spans="2:10" ht="16.5" thickBot="1" x14ac:dyDescent="0.3"/>
    <row r="2" spans="2:10" ht="21.75" thickBot="1" x14ac:dyDescent="0.4">
      <c r="B2" s="111" t="s">
        <v>147</v>
      </c>
      <c r="C2" s="112"/>
      <c r="D2" s="112"/>
      <c r="E2" s="112"/>
      <c r="F2" s="112"/>
      <c r="G2" s="112"/>
      <c r="H2" s="112"/>
      <c r="I2" s="112"/>
      <c r="J2" s="113"/>
    </row>
    <row r="3" spans="2:10" ht="16.5" thickBot="1" x14ac:dyDescent="0.3"/>
    <row r="4" spans="2:10" x14ac:dyDescent="0.25">
      <c r="B4" s="29" t="s">
        <v>42</v>
      </c>
      <c r="C4" s="30"/>
      <c r="D4" s="30"/>
      <c r="E4" s="30"/>
      <c r="F4" s="30"/>
      <c r="G4" s="30"/>
      <c r="H4" s="30"/>
      <c r="I4" s="30"/>
      <c r="J4" s="31"/>
    </row>
    <row r="5" spans="2:10" x14ac:dyDescent="0.25">
      <c r="B5" s="32" t="s">
        <v>63</v>
      </c>
      <c r="C5" s="33"/>
      <c r="D5" s="33"/>
      <c r="E5" s="33"/>
      <c r="F5" s="33"/>
      <c r="G5" s="33"/>
      <c r="H5" s="33"/>
      <c r="I5" s="33"/>
      <c r="J5" s="34"/>
    </row>
    <row r="6" spans="2:10" x14ac:dyDescent="0.25">
      <c r="B6" s="32" t="s">
        <v>43</v>
      </c>
      <c r="C6" s="33"/>
      <c r="D6" s="33"/>
      <c r="E6" s="33"/>
      <c r="F6" s="33"/>
      <c r="G6" s="33"/>
      <c r="H6" s="33"/>
      <c r="I6" s="33"/>
      <c r="J6" s="34"/>
    </row>
    <row r="7" spans="2:10" ht="16.5" thickBot="1" x14ac:dyDescent="0.3">
      <c r="B7" s="35" t="s">
        <v>44</v>
      </c>
      <c r="C7" s="36"/>
      <c r="D7" s="36"/>
      <c r="E7" s="36"/>
      <c r="F7" s="36"/>
      <c r="G7" s="36"/>
      <c r="H7" s="36"/>
      <c r="I7" s="36"/>
      <c r="J7" s="37"/>
    </row>
    <row r="9" spans="2:10" x14ac:dyDescent="0.25">
      <c r="C9">
        <v>2014</v>
      </c>
      <c r="D9">
        <v>2015</v>
      </c>
      <c r="E9">
        <v>2016</v>
      </c>
    </row>
    <row r="10" spans="2:10" x14ac:dyDescent="0.25">
      <c r="B10" t="s">
        <v>64</v>
      </c>
      <c r="C10">
        <v>146980</v>
      </c>
      <c r="D10">
        <v>120030</v>
      </c>
      <c r="E10">
        <v>107680</v>
      </c>
    </row>
    <row r="11" spans="2:10" x14ac:dyDescent="0.25">
      <c r="B11" t="s">
        <v>65</v>
      </c>
      <c r="C11">
        <v>86720</v>
      </c>
      <c r="D11">
        <v>100380</v>
      </c>
      <c r="E11">
        <v>97630</v>
      </c>
    </row>
    <row r="12" spans="2:10" x14ac:dyDescent="0.25">
      <c r="B12" t="s">
        <v>66</v>
      </c>
      <c r="C12">
        <v>720650</v>
      </c>
      <c r="D12">
        <v>693240</v>
      </c>
      <c r="E12">
        <v>987520</v>
      </c>
    </row>
    <row r="13" spans="2:10" x14ac:dyDescent="0.25">
      <c r="B13" t="s">
        <v>67</v>
      </c>
      <c r="C13">
        <v>589470</v>
      </c>
      <c r="D13">
        <v>421870</v>
      </c>
      <c r="E13">
        <v>620450</v>
      </c>
    </row>
    <row r="14" spans="2:10" x14ac:dyDescent="0.25">
      <c r="B14" t="s">
        <v>68</v>
      </c>
      <c r="C14">
        <v>1523620</v>
      </c>
      <c r="D14">
        <v>1895870</v>
      </c>
      <c r="E14">
        <v>1624730</v>
      </c>
    </row>
    <row r="16" spans="2:10" ht="16.5" thickBot="1" x14ac:dyDescent="0.3"/>
    <row r="17" spans="3:5" ht="16.5" thickBot="1" x14ac:dyDescent="0.3">
      <c r="C17" s="83" t="s">
        <v>150</v>
      </c>
      <c r="D17" s="84"/>
      <c r="E17" s="85"/>
    </row>
  </sheetData>
  <mergeCells count="2">
    <mergeCell ref="C17:E17"/>
    <mergeCell ref="B2:J2"/>
  </mergeCells>
  <hyperlinks>
    <hyperlink ref="C17" location="'Level 4'!A1" display="Start on Level 4 Task" xr:uid="{00000000-0004-0000-0500-000000000000}"/>
    <hyperlink ref="D17" location="'Level 4'!A1" display="'Level 4'!A1" xr:uid="{00000000-0004-0000-0500-000001000000}"/>
    <hyperlink ref="E17" location="'Level 4'!A1" display="'Level 4'!A1" xr:uid="{00000000-0004-0000-0500-000002000000}"/>
    <hyperlink ref="C17:E17" location="'Tasg 6'!A1" display="Go to Task 6" xr:uid="{00000000-0004-0000-0500-000003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B1:K47"/>
  <sheetViews>
    <sheetView workbookViewId="0">
      <selection activeCell="B47" sqref="B47:G47"/>
    </sheetView>
  </sheetViews>
  <sheetFormatPr defaultColWidth="11" defaultRowHeight="15.75" x14ac:dyDescent="0.25"/>
  <cols>
    <col min="2" max="2" width="23.5" customWidth="1"/>
    <col min="3" max="3" width="21.5" customWidth="1"/>
    <col min="4" max="4" width="22" customWidth="1"/>
    <col min="5" max="5" width="16.875" bestFit="1" customWidth="1"/>
    <col min="10" max="10" width="21.5" customWidth="1"/>
    <col min="11" max="11" width="17.625" bestFit="1" customWidth="1"/>
    <col min="12" max="12" width="19" bestFit="1" customWidth="1"/>
  </cols>
  <sheetData>
    <row r="1" spans="2:11" ht="16.5" thickBot="1" x14ac:dyDescent="0.3"/>
    <row r="2" spans="2:11" ht="21.75" thickBot="1" x14ac:dyDescent="0.4">
      <c r="B2" s="117" t="s">
        <v>149</v>
      </c>
      <c r="C2" s="118"/>
      <c r="D2" s="118"/>
      <c r="E2" s="118"/>
      <c r="F2" s="118"/>
      <c r="G2" s="118"/>
      <c r="H2" s="118"/>
      <c r="I2" s="118"/>
      <c r="J2" s="118"/>
      <c r="K2" s="119"/>
    </row>
    <row r="3" spans="2:11" ht="16.5" thickBot="1" x14ac:dyDescent="0.3"/>
    <row r="4" spans="2:11" ht="45" customHeight="1" thickBot="1" x14ac:dyDescent="0.3">
      <c r="B4" s="114" t="s">
        <v>93</v>
      </c>
      <c r="C4" s="115"/>
      <c r="D4" s="115"/>
      <c r="E4" s="115"/>
      <c r="F4" s="115"/>
      <c r="G4" s="116"/>
      <c r="H4" s="47"/>
      <c r="I4" s="47"/>
      <c r="J4" s="47"/>
      <c r="K4" s="47"/>
    </row>
    <row r="5" spans="2:11" ht="45" customHeight="1" thickBot="1" x14ac:dyDescent="0.3">
      <c r="B5" s="114" t="s">
        <v>115</v>
      </c>
      <c r="C5" s="115"/>
      <c r="D5" s="115"/>
      <c r="E5" s="115"/>
      <c r="F5" s="115"/>
      <c r="G5" s="116"/>
      <c r="H5" s="47"/>
      <c r="I5" s="47"/>
      <c r="J5" s="47"/>
      <c r="K5" s="47"/>
    </row>
    <row r="7" spans="2:11" ht="16.5" thickBot="1" x14ac:dyDescent="0.3"/>
    <row r="8" spans="2:11" ht="16.5" thickBot="1" x14ac:dyDescent="0.3">
      <c r="B8" s="38" t="s">
        <v>0</v>
      </c>
      <c r="C8" s="39"/>
      <c r="D8" s="39"/>
      <c r="E8" s="39"/>
      <c r="F8" s="39"/>
      <c r="G8" s="40"/>
    </row>
    <row r="9" spans="2:11" x14ac:dyDescent="0.25">
      <c r="B9" s="120"/>
      <c r="C9" s="121"/>
      <c r="D9" s="121"/>
      <c r="E9" s="121"/>
      <c r="F9" s="121"/>
      <c r="G9" s="122"/>
    </row>
    <row r="10" spans="2:11" x14ac:dyDescent="0.25">
      <c r="B10" s="120"/>
      <c r="C10" s="121"/>
      <c r="D10" s="121"/>
      <c r="E10" s="121"/>
      <c r="F10" s="121"/>
      <c r="G10" s="122"/>
    </row>
    <row r="11" spans="2:11" x14ac:dyDescent="0.25">
      <c r="B11" s="123"/>
      <c r="C11" s="124"/>
      <c r="D11" s="124"/>
      <c r="E11" s="124"/>
      <c r="F11" s="124"/>
      <c r="G11" s="125"/>
    </row>
    <row r="12" spans="2:11" ht="16.5" thickBot="1" x14ac:dyDescent="0.3"/>
    <row r="13" spans="2:11" x14ac:dyDescent="0.25">
      <c r="B13" s="126" t="s">
        <v>118</v>
      </c>
      <c r="C13" s="127"/>
      <c r="D13" s="127"/>
      <c r="E13" s="127"/>
      <c r="F13" s="127"/>
      <c r="G13" s="128"/>
    </row>
    <row r="14" spans="2:11" x14ac:dyDescent="0.25">
      <c r="B14" s="44" t="s">
        <v>34</v>
      </c>
      <c r="C14" s="45"/>
      <c r="D14" s="45"/>
      <c r="E14" s="45"/>
      <c r="F14" s="45"/>
      <c r="G14" s="46"/>
    </row>
    <row r="15" spans="2:11" x14ac:dyDescent="0.25">
      <c r="B15" s="32" t="s">
        <v>35</v>
      </c>
      <c r="C15" s="33"/>
      <c r="D15" s="33"/>
      <c r="E15" s="33"/>
      <c r="F15" s="33"/>
      <c r="G15" s="34"/>
    </row>
    <row r="16" spans="2:11" ht="16.5" thickBot="1" x14ac:dyDescent="0.3">
      <c r="B16" s="35" t="s">
        <v>36</v>
      </c>
      <c r="C16" s="36"/>
      <c r="D16" s="36"/>
      <c r="E16" s="36"/>
      <c r="F16" s="36"/>
      <c r="G16" s="37"/>
    </row>
    <row r="17" spans="2:11" x14ac:dyDescent="0.25">
      <c r="B17" s="129"/>
      <c r="C17" s="130"/>
      <c r="D17" s="130"/>
      <c r="E17" s="130"/>
      <c r="F17" s="130"/>
      <c r="G17" s="131"/>
    </row>
    <row r="18" spans="2:11" x14ac:dyDescent="0.25">
      <c r="B18" s="132"/>
      <c r="C18" s="121"/>
      <c r="D18" s="121"/>
      <c r="E18" s="121"/>
      <c r="F18" s="121"/>
      <c r="G18" s="133"/>
    </row>
    <row r="19" spans="2:11" x14ac:dyDescent="0.25">
      <c r="B19" s="134"/>
      <c r="C19" s="124"/>
      <c r="D19" s="124"/>
      <c r="E19" s="124"/>
      <c r="F19" s="124"/>
      <c r="G19" s="135"/>
    </row>
    <row r="20" spans="2:11" x14ac:dyDescent="0.25">
      <c r="B20" s="64"/>
      <c r="C20" s="63"/>
      <c r="D20" s="63"/>
      <c r="E20" s="63"/>
      <c r="F20" s="63"/>
      <c r="G20" s="65"/>
    </row>
    <row r="21" spans="2:11" ht="16.5" thickBot="1" x14ac:dyDescent="0.3">
      <c r="B21" s="66"/>
      <c r="C21" s="67"/>
      <c r="D21" s="67"/>
      <c r="E21" s="67"/>
      <c r="F21" s="67"/>
      <c r="G21" s="68"/>
    </row>
    <row r="23" spans="2:11" x14ac:dyDescent="0.25">
      <c r="B23" s="61" t="s">
        <v>94</v>
      </c>
      <c r="C23" s="136" t="s">
        <v>95</v>
      </c>
      <c r="D23" s="136"/>
      <c r="E23" s="61" t="s">
        <v>69</v>
      </c>
      <c r="H23" s="62"/>
      <c r="I23" s="62"/>
      <c r="J23" s="62"/>
      <c r="K23" s="62"/>
    </row>
    <row r="24" spans="2:11" x14ac:dyDescent="0.25">
      <c r="B24" s="61"/>
      <c r="C24" s="61" t="s">
        <v>112</v>
      </c>
      <c r="D24" s="61" t="s">
        <v>113</v>
      </c>
      <c r="E24" s="61" t="s">
        <v>114</v>
      </c>
      <c r="H24" s="62"/>
      <c r="I24" s="62"/>
      <c r="J24" s="62"/>
      <c r="K24" s="62"/>
    </row>
    <row r="25" spans="2:11" x14ac:dyDescent="0.25">
      <c r="B25" s="51" t="s">
        <v>103</v>
      </c>
      <c r="C25" s="51">
        <v>9</v>
      </c>
      <c r="D25" s="51">
        <v>16</v>
      </c>
      <c r="E25" s="51">
        <v>8.1</v>
      </c>
      <c r="H25" s="62"/>
      <c r="I25" s="62"/>
      <c r="J25" s="62"/>
      <c r="K25" s="62"/>
    </row>
    <row r="26" spans="2:11" x14ac:dyDescent="0.25">
      <c r="B26" s="51" t="s">
        <v>101</v>
      </c>
      <c r="C26" s="51">
        <v>10</v>
      </c>
      <c r="D26" s="51">
        <v>16</v>
      </c>
      <c r="E26" s="51">
        <v>8.6</v>
      </c>
      <c r="H26" s="62"/>
      <c r="J26" s="62"/>
      <c r="K26" s="62"/>
    </row>
    <row r="27" spans="2:11" x14ac:dyDescent="0.25">
      <c r="B27" s="51" t="s">
        <v>105</v>
      </c>
      <c r="C27" s="51">
        <v>3</v>
      </c>
      <c r="D27" s="51">
        <v>6</v>
      </c>
      <c r="E27" s="51">
        <v>7.1</v>
      </c>
      <c r="H27" s="62"/>
      <c r="I27" s="62"/>
      <c r="J27" s="62"/>
      <c r="K27" s="62"/>
    </row>
    <row r="28" spans="2:11" x14ac:dyDescent="0.25">
      <c r="B28" s="51" t="s">
        <v>102</v>
      </c>
      <c r="C28" s="51">
        <v>11</v>
      </c>
      <c r="D28" s="51">
        <v>15</v>
      </c>
      <c r="E28" s="51">
        <v>8.4</v>
      </c>
      <c r="H28" s="62"/>
      <c r="I28" s="62"/>
      <c r="J28" s="62"/>
      <c r="K28" s="62"/>
    </row>
    <row r="29" spans="2:11" x14ac:dyDescent="0.25">
      <c r="B29" s="51" t="s">
        <v>96</v>
      </c>
      <c r="C29" s="51">
        <v>4</v>
      </c>
      <c r="D29" s="51">
        <v>6</v>
      </c>
      <c r="E29" s="51">
        <v>7.9</v>
      </c>
      <c r="H29" s="62"/>
      <c r="I29" s="62"/>
      <c r="J29" s="62"/>
      <c r="K29" s="62"/>
    </row>
    <row r="30" spans="2:11" x14ac:dyDescent="0.25">
      <c r="B30" s="51" t="s">
        <v>99</v>
      </c>
      <c r="C30" s="51">
        <v>3</v>
      </c>
      <c r="D30" s="51">
        <v>6</v>
      </c>
      <c r="E30" s="51">
        <v>7.5</v>
      </c>
      <c r="H30" s="62"/>
      <c r="I30" s="62"/>
      <c r="J30" s="62"/>
      <c r="K30" s="62"/>
    </row>
    <row r="31" spans="2:11" x14ac:dyDescent="0.25">
      <c r="B31" s="51" t="s">
        <v>110</v>
      </c>
      <c r="C31" s="51">
        <v>15</v>
      </c>
      <c r="D31" s="51">
        <v>40</v>
      </c>
      <c r="E31" s="51">
        <v>9.3000000000000007</v>
      </c>
      <c r="H31" s="62"/>
      <c r="I31" s="62"/>
      <c r="J31" s="62"/>
      <c r="K31" s="62"/>
    </row>
    <row r="32" spans="2:11" x14ac:dyDescent="0.25">
      <c r="B32" s="51" t="s">
        <v>97</v>
      </c>
      <c r="C32" s="51">
        <v>12</v>
      </c>
      <c r="D32" s="51">
        <v>18</v>
      </c>
      <c r="E32" s="51">
        <v>8.8000000000000007</v>
      </c>
      <c r="H32" s="62"/>
      <c r="I32" s="62"/>
      <c r="J32" s="62"/>
      <c r="K32" s="62"/>
    </row>
    <row r="33" spans="2:11" x14ac:dyDescent="0.25">
      <c r="B33" s="51" t="s">
        <v>107</v>
      </c>
      <c r="C33" s="51">
        <v>1</v>
      </c>
      <c r="D33" s="51">
        <v>1</v>
      </c>
      <c r="E33" s="51">
        <v>6.2</v>
      </c>
      <c r="H33" s="62"/>
      <c r="I33" s="62"/>
      <c r="J33" s="62"/>
      <c r="K33" s="62"/>
    </row>
    <row r="34" spans="2:11" x14ac:dyDescent="0.25">
      <c r="B34" s="51" t="s">
        <v>100</v>
      </c>
      <c r="C34" s="51">
        <v>2</v>
      </c>
      <c r="D34" s="51">
        <v>4</v>
      </c>
      <c r="E34" s="51">
        <v>6.5</v>
      </c>
      <c r="H34" s="62"/>
      <c r="I34" s="62"/>
      <c r="J34" s="62"/>
      <c r="K34" s="62"/>
    </row>
    <row r="35" spans="2:11" x14ac:dyDescent="0.25">
      <c r="B35" s="51" t="s">
        <v>104</v>
      </c>
      <c r="C35" s="51">
        <v>8</v>
      </c>
      <c r="D35" s="51">
        <v>18</v>
      </c>
      <c r="E35" s="51">
        <v>8.1999999999999993</v>
      </c>
      <c r="H35" s="62"/>
      <c r="I35" s="62"/>
      <c r="J35" s="62"/>
      <c r="K35" s="62"/>
    </row>
    <row r="36" spans="2:11" x14ac:dyDescent="0.25">
      <c r="B36" s="51" t="s">
        <v>109</v>
      </c>
      <c r="C36" s="51">
        <v>13</v>
      </c>
      <c r="D36" s="51">
        <v>23</v>
      </c>
      <c r="E36" s="51">
        <v>9</v>
      </c>
      <c r="H36" s="62"/>
      <c r="I36" s="62"/>
      <c r="J36" s="62"/>
      <c r="K36" s="62"/>
    </row>
    <row r="37" spans="2:11" x14ac:dyDescent="0.25">
      <c r="B37" s="51" t="s">
        <v>98</v>
      </c>
      <c r="C37" s="51">
        <v>3</v>
      </c>
      <c r="D37" s="51">
        <v>4</v>
      </c>
      <c r="E37" s="51">
        <v>7</v>
      </c>
      <c r="H37" s="62"/>
      <c r="I37" s="62"/>
      <c r="J37" s="62"/>
      <c r="K37" s="62"/>
    </row>
    <row r="38" spans="2:11" x14ac:dyDescent="0.25">
      <c r="B38" s="51" t="s">
        <v>108</v>
      </c>
      <c r="C38" s="51">
        <v>5</v>
      </c>
      <c r="D38" s="51">
        <v>12</v>
      </c>
      <c r="E38" s="51">
        <v>7.8</v>
      </c>
      <c r="H38" s="62"/>
      <c r="I38" s="62"/>
      <c r="J38" s="62"/>
      <c r="K38" s="62"/>
    </row>
    <row r="39" spans="2:11" x14ac:dyDescent="0.25">
      <c r="B39" s="51" t="s">
        <v>106</v>
      </c>
      <c r="C39" s="51">
        <v>5</v>
      </c>
      <c r="D39" s="51">
        <v>7</v>
      </c>
      <c r="E39" s="51">
        <v>7.9</v>
      </c>
      <c r="H39" s="62"/>
      <c r="I39" s="62"/>
      <c r="J39" s="62"/>
      <c r="K39" s="62"/>
    </row>
    <row r="40" spans="2:11" x14ac:dyDescent="0.25">
      <c r="C40" s="49"/>
      <c r="D40" s="49"/>
      <c r="E40" s="49"/>
    </row>
    <row r="41" spans="2:11" ht="15.95" customHeight="1" thickBot="1" x14ac:dyDescent="0.3"/>
    <row r="42" spans="2:11" ht="16.5" thickBot="1" x14ac:dyDescent="0.3">
      <c r="B42" s="126" t="s">
        <v>116</v>
      </c>
      <c r="C42" s="127"/>
      <c r="D42" s="127"/>
      <c r="E42" s="127"/>
      <c r="F42" s="127"/>
      <c r="G42" s="128"/>
    </row>
    <row r="43" spans="2:11" x14ac:dyDescent="0.25">
      <c r="B43" s="137"/>
      <c r="C43" s="130"/>
      <c r="D43" s="130"/>
      <c r="E43" s="130"/>
      <c r="F43" s="130"/>
      <c r="G43" s="138"/>
    </row>
    <row r="44" spans="2:11" x14ac:dyDescent="0.25">
      <c r="B44" s="120"/>
      <c r="C44" s="121"/>
      <c r="D44" s="121"/>
      <c r="E44" s="121"/>
      <c r="F44" s="121"/>
      <c r="G44" s="122"/>
    </row>
    <row r="45" spans="2:11" x14ac:dyDescent="0.25">
      <c r="B45" s="123"/>
      <c r="C45" s="124"/>
      <c r="D45" s="124"/>
      <c r="E45" s="124"/>
      <c r="F45" s="124"/>
      <c r="G45" s="125"/>
    </row>
    <row r="46" spans="2:11" ht="16.5" thickBot="1" x14ac:dyDescent="0.3"/>
    <row r="47" spans="2:11" ht="16.5" thickBot="1" x14ac:dyDescent="0.3">
      <c r="B47" s="83" t="s">
        <v>32</v>
      </c>
      <c r="C47" s="84"/>
      <c r="D47" s="84"/>
      <c r="E47" s="84"/>
      <c r="F47" s="84"/>
      <c r="G47" s="85"/>
    </row>
  </sheetData>
  <sortState xmlns:xlrd2="http://schemas.microsoft.com/office/spreadsheetml/2017/richdata2" ref="H21:K35">
    <sortCondition ref="K21"/>
  </sortState>
  <mergeCells count="10">
    <mergeCell ref="B4:G4"/>
    <mergeCell ref="B2:K2"/>
    <mergeCell ref="B9:G11"/>
    <mergeCell ref="B47:G47"/>
    <mergeCell ref="B13:G13"/>
    <mergeCell ref="B17:G19"/>
    <mergeCell ref="C23:D23"/>
    <mergeCell ref="B5:G5"/>
    <mergeCell ref="B42:G42"/>
    <mergeCell ref="B43:G45"/>
  </mergeCells>
  <hyperlinks>
    <hyperlink ref="B47:G47" location="Extension!A1" display="Go to Extension" xr:uid="{00000000-0004-0000-0700-000000000000}"/>
    <hyperlink ref="B47" location="'Level 4'!A1" display="Start on Level 4 Task" xr:uid="{00000000-0004-0000-0700-000001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1:N32"/>
  <sheetViews>
    <sheetView workbookViewId="0">
      <selection activeCell="B33" sqref="B33"/>
    </sheetView>
  </sheetViews>
  <sheetFormatPr defaultColWidth="11" defaultRowHeight="15.75" x14ac:dyDescent="0.25"/>
  <cols>
    <col min="3" max="3" width="34.875" bestFit="1" customWidth="1"/>
    <col min="11" max="12" width="12" bestFit="1" customWidth="1"/>
  </cols>
  <sheetData>
    <row r="1" spans="2:14" ht="16.5" thickBot="1" x14ac:dyDescent="0.3"/>
    <row r="2" spans="2:14" ht="21.75" thickBot="1" x14ac:dyDescent="0.4">
      <c r="B2" s="139" t="s">
        <v>148</v>
      </c>
      <c r="C2" s="140"/>
      <c r="D2" s="140"/>
      <c r="E2" s="140"/>
      <c r="F2" s="140"/>
      <c r="G2" s="140"/>
      <c r="H2" s="140"/>
      <c r="I2" s="140"/>
      <c r="J2" s="141"/>
    </row>
    <row r="3" spans="2:14" ht="16.5" thickBot="1" x14ac:dyDescent="0.3"/>
    <row r="4" spans="2:14" x14ac:dyDescent="0.25">
      <c r="B4" s="29" t="s">
        <v>37</v>
      </c>
      <c r="C4" s="30"/>
      <c r="D4" s="30"/>
      <c r="E4" s="30"/>
      <c r="F4" s="30"/>
      <c r="G4" s="30"/>
      <c r="H4" s="31"/>
    </row>
    <row r="5" spans="2:14" x14ac:dyDescent="0.25">
      <c r="B5" s="32" t="s">
        <v>38</v>
      </c>
      <c r="C5" s="33"/>
      <c r="D5" s="33"/>
      <c r="E5" s="33"/>
      <c r="F5" s="33"/>
      <c r="G5" s="33"/>
      <c r="H5" s="34"/>
    </row>
    <row r="6" spans="2:14" x14ac:dyDescent="0.25">
      <c r="B6" s="32" t="s">
        <v>39</v>
      </c>
      <c r="C6" s="33"/>
      <c r="D6" s="33"/>
      <c r="E6" s="33"/>
      <c r="F6" s="33"/>
      <c r="G6" s="33"/>
      <c r="H6" s="34"/>
    </row>
    <row r="7" spans="2:14" x14ac:dyDescent="0.25">
      <c r="B7" s="32" t="s">
        <v>40</v>
      </c>
      <c r="C7" s="33"/>
      <c r="D7" s="33"/>
      <c r="E7" s="33"/>
      <c r="F7" s="33"/>
      <c r="G7" s="33"/>
      <c r="H7" s="34"/>
    </row>
    <row r="8" spans="2:14" ht="16.5" thickBot="1" x14ac:dyDescent="0.3">
      <c r="B8" s="35" t="s">
        <v>41</v>
      </c>
      <c r="C8" s="36"/>
      <c r="D8" s="36"/>
      <c r="E8" s="36"/>
      <c r="F8" s="36"/>
      <c r="G8" s="36"/>
      <c r="H8" s="37"/>
    </row>
    <row r="9" spans="2:14" x14ac:dyDescent="0.25">
      <c r="B9" s="142"/>
      <c r="C9" s="143"/>
      <c r="D9" s="143"/>
      <c r="E9" s="143"/>
      <c r="F9" s="143"/>
      <c r="G9" s="143"/>
      <c r="H9" s="144"/>
    </row>
    <row r="10" spans="2:14" x14ac:dyDescent="0.25">
      <c r="B10" s="145"/>
      <c r="C10" s="146"/>
      <c r="D10" s="146"/>
      <c r="E10" s="146"/>
      <c r="F10" s="146"/>
      <c r="G10" s="146"/>
      <c r="H10" s="147"/>
    </row>
    <row r="11" spans="2:14" x14ac:dyDescent="0.25">
      <c r="B11" s="145"/>
      <c r="C11" s="146"/>
      <c r="D11" s="146"/>
      <c r="E11" s="146"/>
      <c r="F11" s="146"/>
      <c r="G11" s="146"/>
      <c r="H11" s="147"/>
    </row>
    <row r="12" spans="2:14" ht="16.5" thickBot="1" x14ac:dyDescent="0.3">
      <c r="B12" s="148"/>
      <c r="C12" s="149"/>
      <c r="D12" s="149"/>
      <c r="E12" s="149"/>
      <c r="F12" s="149"/>
      <c r="G12" s="149"/>
      <c r="H12" s="150"/>
    </row>
    <row r="14" spans="2:14" x14ac:dyDescent="0.25">
      <c r="B14" s="136" t="s">
        <v>117</v>
      </c>
      <c r="C14" s="136"/>
    </row>
    <row r="16" spans="2:14" ht="18" x14ac:dyDescent="0.25">
      <c r="B16" s="60" t="s">
        <v>91</v>
      </c>
      <c r="C16" s="60" t="s">
        <v>92</v>
      </c>
      <c r="J16" s="55"/>
      <c r="K16" s="56"/>
      <c r="L16" s="56"/>
      <c r="M16" s="57"/>
      <c r="N16" s="57"/>
    </row>
    <row r="17" spans="2:14" ht="18" x14ac:dyDescent="0.25">
      <c r="B17" s="58">
        <v>1</v>
      </c>
      <c r="C17" s="59">
        <v>7.4</v>
      </c>
      <c r="J17" s="55"/>
      <c r="K17" s="56"/>
      <c r="L17" s="56"/>
      <c r="M17" s="57"/>
      <c r="N17" s="57"/>
    </row>
    <row r="18" spans="2:14" ht="18" x14ac:dyDescent="0.25">
      <c r="B18" s="58">
        <v>2</v>
      </c>
      <c r="C18" s="59">
        <v>8.73</v>
      </c>
      <c r="J18" s="55"/>
      <c r="K18" s="56"/>
      <c r="L18" s="56"/>
      <c r="M18" s="57"/>
      <c r="N18" s="57"/>
    </row>
    <row r="19" spans="2:14" ht="18" x14ac:dyDescent="0.25">
      <c r="B19" s="58">
        <v>3</v>
      </c>
      <c r="C19" s="59">
        <v>8.27</v>
      </c>
      <c r="J19" s="55"/>
      <c r="K19" s="56"/>
      <c r="L19" s="56"/>
      <c r="M19" s="57"/>
      <c r="N19" s="57"/>
    </row>
    <row r="20" spans="2:14" ht="18" x14ac:dyDescent="0.25">
      <c r="B20" s="58">
        <v>4</v>
      </c>
      <c r="C20" s="59">
        <v>8.57</v>
      </c>
      <c r="J20" s="55"/>
      <c r="K20" s="56"/>
      <c r="L20" s="56"/>
      <c r="M20" s="57"/>
      <c r="N20" s="57"/>
    </row>
    <row r="21" spans="2:14" ht="18" x14ac:dyDescent="0.25">
      <c r="B21" s="58">
        <v>5</v>
      </c>
      <c r="C21" s="59">
        <v>10.51</v>
      </c>
      <c r="J21" s="55"/>
      <c r="K21" s="56"/>
      <c r="L21" s="56"/>
      <c r="M21" s="57"/>
      <c r="N21" s="57"/>
    </row>
    <row r="22" spans="2:14" ht="18" x14ac:dyDescent="0.25">
      <c r="B22" s="58">
        <v>6</v>
      </c>
      <c r="C22" s="59">
        <v>13</v>
      </c>
      <c r="J22" s="55"/>
      <c r="K22" s="56"/>
      <c r="L22" s="56"/>
      <c r="M22" s="57"/>
      <c r="N22" s="57"/>
    </row>
    <row r="23" spans="2:14" ht="18" x14ac:dyDescent="0.25">
      <c r="B23" s="58">
        <v>7</v>
      </c>
      <c r="C23" s="59">
        <v>14.13</v>
      </c>
      <c r="J23" s="55"/>
      <c r="K23" s="56"/>
      <c r="L23" s="56"/>
      <c r="M23" s="57"/>
      <c r="N23" s="57"/>
    </row>
    <row r="24" spans="2:14" ht="18" x14ac:dyDescent="0.25">
      <c r="B24" s="58">
        <v>8</v>
      </c>
      <c r="C24" s="59">
        <v>12.41</v>
      </c>
      <c r="J24" s="55"/>
      <c r="K24" s="56"/>
      <c r="L24" s="56"/>
      <c r="M24" s="57"/>
      <c r="N24" s="57"/>
    </row>
    <row r="25" spans="2:14" ht="18" x14ac:dyDescent="0.25">
      <c r="B25" s="58">
        <v>9</v>
      </c>
      <c r="C25" s="59">
        <v>9.6300000000000008</v>
      </c>
      <c r="J25" s="55"/>
      <c r="K25" s="56"/>
      <c r="L25" s="56"/>
      <c r="M25" s="57"/>
      <c r="N25" s="57"/>
    </row>
    <row r="26" spans="2:14" ht="18" x14ac:dyDescent="0.25">
      <c r="B26" s="58">
        <v>10</v>
      </c>
      <c r="C26" s="59">
        <v>9.4499999999999993</v>
      </c>
      <c r="J26" s="55"/>
      <c r="K26" s="56"/>
      <c r="L26" s="56"/>
      <c r="M26" s="57"/>
      <c r="N26" s="57"/>
    </row>
    <row r="27" spans="2:14" ht="18" x14ac:dyDescent="0.25">
      <c r="B27" s="58">
        <v>11</v>
      </c>
      <c r="C27" s="59">
        <v>8.65</v>
      </c>
      <c r="J27" s="55"/>
      <c r="K27" s="56"/>
      <c r="L27" s="56"/>
      <c r="M27" s="57"/>
      <c r="N27" s="57"/>
    </row>
    <row r="28" spans="2:14" ht="18" x14ac:dyDescent="0.25">
      <c r="B28" s="58">
        <v>12</v>
      </c>
      <c r="C28" s="59">
        <v>7.85</v>
      </c>
      <c r="J28" s="55"/>
      <c r="K28" s="56"/>
      <c r="L28" s="56"/>
      <c r="M28" s="57"/>
      <c r="N28" s="57"/>
    </row>
    <row r="29" spans="2:14" ht="18" x14ac:dyDescent="0.25">
      <c r="B29" s="58">
        <v>13</v>
      </c>
      <c r="C29" s="59">
        <v>7.71</v>
      </c>
      <c r="J29" s="55"/>
      <c r="K29" s="56"/>
      <c r="L29" s="56"/>
      <c r="M29" s="57"/>
      <c r="N29" s="57"/>
    </row>
    <row r="30" spans="2:14" ht="18" x14ac:dyDescent="0.25">
      <c r="J30" s="55"/>
      <c r="K30" s="56"/>
      <c r="L30" s="56"/>
      <c r="M30" s="57"/>
      <c r="N30" s="57"/>
    </row>
    <row r="31" spans="2:14" ht="18.75" thickBot="1" x14ac:dyDescent="0.3">
      <c r="J31" s="55"/>
      <c r="K31" s="56"/>
      <c r="L31" s="56"/>
      <c r="M31" s="57"/>
      <c r="N31" s="57"/>
    </row>
    <row r="32" spans="2:14" ht="18.75" thickBot="1" x14ac:dyDescent="0.3">
      <c r="B32" s="83" t="s">
        <v>151</v>
      </c>
      <c r="C32" s="84"/>
      <c r="D32" s="85"/>
      <c r="J32" s="55"/>
      <c r="K32" s="56"/>
      <c r="L32" s="57"/>
      <c r="M32" s="57"/>
    </row>
  </sheetData>
  <mergeCells count="4">
    <mergeCell ref="B32:D32"/>
    <mergeCell ref="B2:J2"/>
    <mergeCell ref="B9:H12"/>
    <mergeCell ref="B14:C14"/>
  </mergeCells>
  <hyperlinks>
    <hyperlink ref="B32" location="'Level 4'!A1" display="Start on Level 4 Task" xr:uid="{00000000-0004-0000-0600-000000000000}"/>
    <hyperlink ref="C32" location="'Level 4'!A1" display="'Level 4'!A1" xr:uid="{00000000-0004-0000-0600-000001000000}"/>
    <hyperlink ref="D32" location="'Level 4'!A1" display="'Level 4'!A1" xr:uid="{00000000-0004-0000-0600-000002000000}"/>
    <hyperlink ref="B32:D32" location="'Tasg 7'!A1" display="Go to Task 5" xr:uid="{00000000-0004-0000-0600-000003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D1:P46"/>
  <sheetViews>
    <sheetView workbookViewId="0">
      <selection activeCell="Q25" sqref="Q25"/>
    </sheetView>
  </sheetViews>
  <sheetFormatPr defaultColWidth="8.875" defaultRowHeight="15.75" x14ac:dyDescent="0.25"/>
  <cols>
    <col min="1" max="1" width="5" customWidth="1"/>
    <col min="2" max="2" width="2.625" customWidth="1"/>
    <col min="3" max="3" width="2.5" customWidth="1"/>
    <col min="4" max="4" width="18.375" customWidth="1"/>
    <col min="6" max="6" width="9" customWidth="1"/>
    <col min="7" max="7" width="10.375" bestFit="1" customWidth="1"/>
    <col min="12" max="13" width="11.5" customWidth="1"/>
    <col min="15" max="15" width="12.625" bestFit="1" customWidth="1"/>
  </cols>
  <sheetData>
    <row r="1" spans="4:16" ht="16.5" thickBot="1" x14ac:dyDescent="0.3"/>
    <row r="2" spans="4:16" ht="32.25" customHeight="1" thickBot="1" x14ac:dyDescent="0.3">
      <c r="D2" s="151" t="s">
        <v>88</v>
      </c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3"/>
    </row>
    <row r="3" spans="4:16" ht="16.5" thickBot="1" x14ac:dyDescent="0.3"/>
    <row r="4" spans="4:16" x14ac:dyDescent="0.25">
      <c r="D4" s="29" t="s">
        <v>70</v>
      </c>
      <c r="E4" s="30"/>
      <c r="F4" s="30"/>
      <c r="G4" s="30"/>
      <c r="H4" s="30"/>
      <c r="I4" s="30"/>
      <c r="J4" s="30"/>
      <c r="K4" s="30"/>
      <c r="L4" s="30"/>
      <c r="M4" s="31"/>
    </row>
    <row r="5" spans="4:16" x14ac:dyDescent="0.25">
      <c r="D5" s="32" t="s">
        <v>29</v>
      </c>
      <c r="E5" s="33"/>
      <c r="F5" s="33"/>
      <c r="G5" s="33"/>
      <c r="H5" s="33"/>
      <c r="I5" s="33"/>
      <c r="J5" s="33"/>
      <c r="K5" s="33"/>
      <c r="L5" s="33"/>
      <c r="M5" s="34"/>
    </row>
    <row r="6" spans="4:16" ht="16.5" thickBot="1" x14ac:dyDescent="0.3">
      <c r="D6" s="35" t="s">
        <v>31</v>
      </c>
      <c r="E6" s="36"/>
      <c r="F6" s="36"/>
      <c r="G6" s="36"/>
      <c r="H6" s="36"/>
      <c r="I6" s="36"/>
      <c r="J6" s="36"/>
      <c r="K6" s="36"/>
      <c r="L6" s="36"/>
      <c r="M6" s="37"/>
    </row>
    <row r="7" spans="4:16" ht="16.5" thickBot="1" x14ac:dyDescent="0.3"/>
    <row r="8" spans="4:16" x14ac:dyDescent="0.25">
      <c r="D8" s="29" t="s">
        <v>84</v>
      </c>
      <c r="E8" s="30"/>
      <c r="F8" s="30"/>
      <c r="G8" s="30"/>
      <c r="H8" s="30"/>
      <c r="I8" s="30"/>
      <c r="J8" s="30"/>
      <c r="K8" s="30"/>
      <c r="L8" s="30"/>
      <c r="M8" s="31"/>
    </row>
    <row r="9" spans="4:16" x14ac:dyDescent="0.25">
      <c r="D9" s="32" t="s">
        <v>82</v>
      </c>
      <c r="E9" s="33"/>
      <c r="F9" s="33"/>
      <c r="G9" s="33"/>
      <c r="H9" s="33"/>
      <c r="I9" s="33"/>
      <c r="J9" s="33"/>
      <c r="K9" s="33"/>
      <c r="L9" s="33"/>
      <c r="M9" s="34"/>
    </row>
    <row r="10" spans="4:16" x14ac:dyDescent="0.25">
      <c r="D10" s="32" t="s">
        <v>83</v>
      </c>
      <c r="E10" s="33"/>
      <c r="F10" s="33"/>
      <c r="G10" s="33"/>
      <c r="H10" s="33"/>
      <c r="I10" s="33"/>
      <c r="J10" s="33"/>
      <c r="K10" s="33"/>
      <c r="L10" s="33"/>
      <c r="M10" s="34"/>
    </row>
    <row r="11" spans="4:16" ht="16.5" thickBot="1" x14ac:dyDescent="0.3">
      <c r="D11" s="35"/>
      <c r="E11" s="36"/>
      <c r="F11" s="36"/>
      <c r="G11" s="36"/>
      <c r="H11" s="36"/>
      <c r="I11" s="36"/>
      <c r="J11" s="36"/>
      <c r="K11" s="36"/>
      <c r="L11" s="36"/>
      <c r="M11" s="37"/>
    </row>
    <row r="12" spans="4:16" ht="16.5" thickBot="1" x14ac:dyDescent="0.3"/>
    <row r="13" spans="4:16" ht="16.5" thickBot="1" x14ac:dyDescent="0.3">
      <c r="D13" s="38" t="s">
        <v>33</v>
      </c>
      <c r="E13" s="39"/>
      <c r="F13" s="39"/>
      <c r="G13" s="39"/>
      <c r="H13" s="39"/>
      <c r="I13" s="39"/>
      <c r="J13" s="39"/>
      <c r="K13" s="39"/>
      <c r="L13" s="40"/>
    </row>
    <row r="14" spans="4:16" x14ac:dyDescent="0.25">
      <c r="D14" s="129"/>
      <c r="E14" s="130"/>
      <c r="F14" s="130"/>
      <c r="G14" s="130"/>
      <c r="H14" s="130"/>
      <c r="I14" s="130"/>
      <c r="J14" s="130"/>
      <c r="K14" s="130"/>
      <c r="L14" s="131"/>
    </row>
    <row r="15" spans="4:16" x14ac:dyDescent="0.25">
      <c r="D15" s="132"/>
      <c r="E15" s="121"/>
      <c r="F15" s="121"/>
      <c r="G15" s="121"/>
      <c r="H15" s="121"/>
      <c r="I15" s="121"/>
      <c r="J15" s="121"/>
      <c r="K15" s="121"/>
      <c r="L15" s="133"/>
    </row>
    <row r="16" spans="4:16" ht="16.5" thickBot="1" x14ac:dyDescent="0.3">
      <c r="D16" s="155"/>
      <c r="E16" s="156"/>
      <c r="F16" s="156"/>
      <c r="G16" s="156"/>
      <c r="H16" s="156"/>
      <c r="I16" s="156"/>
      <c r="J16" s="156"/>
      <c r="K16" s="156"/>
      <c r="L16" s="157"/>
    </row>
    <row r="19" spans="4:15" x14ac:dyDescent="0.25">
      <c r="D19" s="53" t="s">
        <v>71</v>
      </c>
      <c r="E19" s="53" t="s">
        <v>74</v>
      </c>
      <c r="F19" s="53" t="s">
        <v>75</v>
      </c>
      <c r="G19" s="53" t="s">
        <v>76</v>
      </c>
      <c r="H19" s="53" t="s">
        <v>77</v>
      </c>
      <c r="I19" s="53" t="s">
        <v>78</v>
      </c>
      <c r="J19" s="53" t="s">
        <v>79</v>
      </c>
      <c r="K19" s="53" t="s">
        <v>80</v>
      </c>
      <c r="L19" s="53" t="s">
        <v>81</v>
      </c>
    </row>
    <row r="20" spans="4:15" x14ac:dyDescent="0.25">
      <c r="D20" s="51" t="s">
        <v>72</v>
      </c>
      <c r="E20" s="158" t="s">
        <v>111</v>
      </c>
      <c r="F20" s="158"/>
      <c r="G20" s="158"/>
      <c r="H20" s="158"/>
      <c r="I20" s="158"/>
      <c r="J20" s="158"/>
      <c r="K20" s="158"/>
      <c r="L20" s="158"/>
      <c r="M20" s="51" t="s">
        <v>4</v>
      </c>
      <c r="N20" s="50"/>
    </row>
    <row r="21" spans="4:15" x14ac:dyDescent="0.25">
      <c r="D21" s="54" t="s">
        <v>64</v>
      </c>
      <c r="E21" s="51">
        <v>56</v>
      </c>
      <c r="F21" s="51">
        <v>67</v>
      </c>
      <c r="G21" s="51">
        <v>89</v>
      </c>
      <c r="H21" s="51">
        <v>42</v>
      </c>
      <c r="I21" s="51">
        <v>76</v>
      </c>
      <c r="J21" s="51">
        <v>69</v>
      </c>
      <c r="K21" s="51">
        <v>51</v>
      </c>
      <c r="L21" s="51">
        <v>22</v>
      </c>
      <c r="M21" s="52">
        <f>SUM(E21:L21)</f>
        <v>472</v>
      </c>
    </row>
    <row r="22" spans="4:15" x14ac:dyDescent="0.25">
      <c r="D22" s="54" t="s">
        <v>65</v>
      </c>
      <c r="E22" s="51">
        <v>66</v>
      </c>
      <c r="F22" s="51">
        <v>69</v>
      </c>
      <c r="G22" s="51">
        <v>94</v>
      </c>
      <c r="H22" s="51">
        <v>43</v>
      </c>
      <c r="I22" s="51">
        <v>93</v>
      </c>
      <c r="J22" s="51">
        <v>84</v>
      </c>
      <c r="K22" s="51">
        <v>57</v>
      </c>
      <c r="L22" s="51">
        <v>30</v>
      </c>
      <c r="M22" s="52">
        <f t="shared" ref="M22:M26" si="0">SUM(E22:L22)</f>
        <v>536</v>
      </c>
    </row>
    <row r="23" spans="4:15" x14ac:dyDescent="0.25">
      <c r="D23" s="54" t="s">
        <v>66</v>
      </c>
      <c r="E23" s="51">
        <v>89</v>
      </c>
      <c r="F23" s="51">
        <v>73</v>
      </c>
      <c r="G23" s="51">
        <v>51</v>
      </c>
      <c r="H23" s="51">
        <v>93</v>
      </c>
      <c r="I23" s="51">
        <v>96</v>
      </c>
      <c r="J23" s="51">
        <v>91</v>
      </c>
      <c r="K23" s="51">
        <v>77</v>
      </c>
      <c r="L23" s="51">
        <v>32</v>
      </c>
      <c r="M23" s="52">
        <f t="shared" si="0"/>
        <v>602</v>
      </c>
    </row>
    <row r="24" spans="4:15" x14ac:dyDescent="0.25">
      <c r="D24" s="54" t="s">
        <v>67</v>
      </c>
      <c r="E24" s="51">
        <v>71</v>
      </c>
      <c r="F24" s="51">
        <v>80</v>
      </c>
      <c r="G24" s="51">
        <v>85</v>
      </c>
      <c r="H24" s="51">
        <v>57</v>
      </c>
      <c r="I24" s="51">
        <v>112</v>
      </c>
      <c r="J24" s="51">
        <v>89</v>
      </c>
      <c r="K24" s="51">
        <v>61</v>
      </c>
      <c r="L24" s="51">
        <v>39</v>
      </c>
      <c r="M24" s="52">
        <f t="shared" si="0"/>
        <v>594</v>
      </c>
    </row>
    <row r="25" spans="4:15" x14ac:dyDescent="0.25">
      <c r="D25" s="54" t="s">
        <v>68</v>
      </c>
      <c r="E25" s="51">
        <v>58</v>
      </c>
      <c r="F25" s="51">
        <v>67</v>
      </c>
      <c r="G25" s="51">
        <v>63</v>
      </c>
      <c r="H25" s="51">
        <v>57</v>
      </c>
      <c r="I25" s="51">
        <v>107</v>
      </c>
      <c r="J25" s="51">
        <v>86</v>
      </c>
      <c r="K25" s="51">
        <v>56</v>
      </c>
      <c r="L25" s="51">
        <v>71</v>
      </c>
      <c r="M25" s="52">
        <f t="shared" si="0"/>
        <v>565</v>
      </c>
    </row>
    <row r="26" spans="4:15" x14ac:dyDescent="0.25">
      <c r="D26" s="54" t="s">
        <v>73</v>
      </c>
      <c r="E26" s="51">
        <v>72</v>
      </c>
      <c r="F26" s="51">
        <v>88</v>
      </c>
      <c r="G26" s="51">
        <v>103</v>
      </c>
      <c r="H26" s="51">
        <v>64</v>
      </c>
      <c r="I26" s="51">
        <v>150</v>
      </c>
      <c r="J26" s="51">
        <v>101</v>
      </c>
      <c r="K26" s="51">
        <v>69</v>
      </c>
      <c r="L26" s="51">
        <v>43</v>
      </c>
      <c r="M26" s="52">
        <f t="shared" si="0"/>
        <v>690</v>
      </c>
      <c r="O26" s="2"/>
    </row>
    <row r="27" spans="4:15" x14ac:dyDescent="0.25">
      <c r="D27" s="51" t="s">
        <v>4</v>
      </c>
      <c r="E27" s="52">
        <f>SUM(E21:E26)</f>
        <v>412</v>
      </c>
      <c r="F27" s="52">
        <f t="shared" ref="F27:M27" si="1">SUM(F21:F26)</f>
        <v>444</v>
      </c>
      <c r="G27" s="52">
        <f t="shared" si="1"/>
        <v>485</v>
      </c>
      <c r="H27" s="52">
        <f t="shared" si="1"/>
        <v>356</v>
      </c>
      <c r="I27" s="52">
        <f t="shared" si="1"/>
        <v>634</v>
      </c>
      <c r="J27" s="52">
        <f t="shared" si="1"/>
        <v>520</v>
      </c>
      <c r="K27" s="52">
        <f t="shared" si="1"/>
        <v>371</v>
      </c>
      <c r="L27" s="52">
        <f t="shared" si="1"/>
        <v>237</v>
      </c>
      <c r="M27" s="52">
        <f t="shared" si="1"/>
        <v>3459</v>
      </c>
      <c r="N27" s="3"/>
    </row>
    <row r="28" spans="4:15" ht="16.5" thickBot="1" x14ac:dyDescent="0.3"/>
    <row r="29" spans="4:15" ht="16.5" thickBot="1" x14ac:dyDescent="0.3">
      <c r="D29" s="41" t="s">
        <v>85</v>
      </c>
      <c r="E29" s="42"/>
      <c r="F29" s="42"/>
      <c r="G29" s="42"/>
      <c r="H29" s="42"/>
      <c r="I29" s="42"/>
      <c r="J29" s="42"/>
      <c r="K29" s="42"/>
      <c r="L29" s="43"/>
    </row>
    <row r="30" spans="4:15" x14ac:dyDescent="0.25">
      <c r="D30" s="129"/>
      <c r="E30" s="130"/>
      <c r="F30" s="130"/>
      <c r="G30" s="130"/>
      <c r="H30" s="130"/>
      <c r="I30" s="130"/>
      <c r="J30" s="130"/>
      <c r="K30" s="130"/>
      <c r="L30" s="131"/>
    </row>
    <row r="31" spans="4:15" x14ac:dyDescent="0.25">
      <c r="D31" s="132"/>
      <c r="E31" s="121"/>
      <c r="F31" s="121"/>
      <c r="G31" s="121"/>
      <c r="H31" s="121"/>
      <c r="I31" s="121"/>
      <c r="J31" s="121"/>
      <c r="K31" s="121"/>
      <c r="L31" s="133"/>
    </row>
    <row r="32" spans="4:15" ht="16.5" thickBot="1" x14ac:dyDescent="0.3">
      <c r="D32" s="155"/>
      <c r="E32" s="156"/>
      <c r="F32" s="156"/>
      <c r="G32" s="156"/>
      <c r="H32" s="156"/>
      <c r="I32" s="156"/>
      <c r="J32" s="156"/>
      <c r="K32" s="156"/>
      <c r="L32" s="157"/>
    </row>
    <row r="33" spans="4:16" ht="16.5" thickBot="1" x14ac:dyDescent="0.3"/>
    <row r="34" spans="4:16" ht="16.5" thickBot="1" x14ac:dyDescent="0.3">
      <c r="D34" s="38" t="s">
        <v>30</v>
      </c>
      <c r="E34" s="39"/>
      <c r="F34" s="39"/>
      <c r="G34" s="39"/>
      <c r="H34" s="39"/>
      <c r="I34" s="39"/>
      <c r="J34" s="39"/>
      <c r="K34" s="39"/>
      <c r="L34" s="40"/>
    </row>
    <row r="35" spans="4:16" x14ac:dyDescent="0.25">
      <c r="D35" s="142"/>
      <c r="E35" s="143"/>
      <c r="F35" s="143"/>
      <c r="G35" s="143"/>
      <c r="H35" s="143"/>
      <c r="I35" s="143"/>
      <c r="J35" s="143"/>
      <c r="K35" s="143"/>
      <c r="L35" s="144"/>
    </row>
    <row r="36" spans="4:16" x14ac:dyDescent="0.25">
      <c r="D36" s="145"/>
      <c r="E36" s="146"/>
      <c r="F36" s="146"/>
      <c r="G36" s="146"/>
      <c r="H36" s="146"/>
      <c r="I36" s="146"/>
      <c r="J36" s="146"/>
      <c r="K36" s="146"/>
      <c r="L36" s="147"/>
    </row>
    <row r="37" spans="4:16" ht="16.5" thickBot="1" x14ac:dyDescent="0.3">
      <c r="D37" s="148"/>
      <c r="E37" s="149"/>
      <c r="F37" s="149"/>
      <c r="G37" s="149"/>
      <c r="H37" s="149"/>
      <c r="I37" s="149"/>
      <c r="J37" s="149"/>
      <c r="K37" s="149"/>
      <c r="L37" s="150"/>
    </row>
    <row r="38" spans="4:16" ht="16.5" thickBot="1" x14ac:dyDescent="0.3"/>
    <row r="39" spans="4:16" x14ac:dyDescent="0.25">
      <c r="D39" s="29" t="s">
        <v>86</v>
      </c>
      <c r="E39" s="30"/>
      <c r="F39" s="30"/>
      <c r="G39" s="30"/>
      <c r="H39" s="30"/>
      <c r="I39" s="30"/>
      <c r="J39" s="30"/>
      <c r="K39" s="30"/>
      <c r="L39" s="31"/>
    </row>
    <row r="40" spans="4:16" ht="16.5" thickBot="1" x14ac:dyDescent="0.3">
      <c r="D40" s="35" t="s">
        <v>87</v>
      </c>
      <c r="E40" s="36"/>
      <c r="F40" s="36"/>
      <c r="G40" s="36"/>
      <c r="H40" s="36"/>
      <c r="I40" s="36"/>
      <c r="J40" s="36"/>
      <c r="K40" s="36"/>
      <c r="L40" s="37"/>
    </row>
    <row r="41" spans="4:16" x14ac:dyDescent="0.25">
      <c r="D41" s="129"/>
      <c r="E41" s="130"/>
      <c r="F41" s="130"/>
      <c r="G41" s="130"/>
      <c r="H41" s="130"/>
      <c r="I41" s="130"/>
      <c r="J41" s="130"/>
      <c r="K41" s="130"/>
      <c r="L41" s="131"/>
    </row>
    <row r="42" spans="4:16" x14ac:dyDescent="0.25">
      <c r="D42" s="132"/>
      <c r="E42" s="121"/>
      <c r="F42" s="121"/>
      <c r="G42" s="121"/>
      <c r="H42" s="121"/>
      <c r="I42" s="121"/>
      <c r="J42" s="121"/>
      <c r="K42" s="121"/>
      <c r="L42" s="133"/>
    </row>
    <row r="43" spans="4:16" ht="16.5" thickBot="1" x14ac:dyDescent="0.3">
      <c r="D43" s="155"/>
      <c r="E43" s="156"/>
      <c r="F43" s="156"/>
      <c r="G43" s="156"/>
      <c r="H43" s="156"/>
      <c r="I43" s="156"/>
      <c r="J43" s="156"/>
      <c r="K43" s="156"/>
      <c r="L43" s="157"/>
    </row>
    <row r="45" spans="4:16" ht="35.25" customHeight="1" x14ac:dyDescent="0.25">
      <c r="D45" s="154" t="s">
        <v>26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</row>
    <row r="46" spans="4:16" ht="37.5" customHeight="1" x14ac:dyDescent="0.25">
      <c r="D46" s="154" t="s">
        <v>27</v>
      </c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</row>
  </sheetData>
  <mergeCells count="8">
    <mergeCell ref="D2:P2"/>
    <mergeCell ref="D46:P46"/>
    <mergeCell ref="D14:L16"/>
    <mergeCell ref="D30:L32"/>
    <mergeCell ref="D35:L37"/>
    <mergeCell ref="D41:L43"/>
    <mergeCell ref="D45:P45"/>
    <mergeCell ref="E20:L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Tasg 1</vt:lpstr>
      <vt:lpstr>Tasg 2</vt:lpstr>
      <vt:lpstr>Tasg 3</vt:lpstr>
      <vt:lpstr>Tasg 4</vt:lpstr>
      <vt:lpstr>Tasg 5</vt:lpstr>
      <vt:lpstr>Tasg 7</vt:lpstr>
      <vt:lpstr>Tasg 6</vt:lpstr>
      <vt:lpstr>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Ashley Hiscocks (Archbishop McGrath Catholic High Scho</cp:lastModifiedBy>
  <dcterms:created xsi:type="dcterms:W3CDTF">2016-12-06T22:31:08Z</dcterms:created>
  <dcterms:modified xsi:type="dcterms:W3CDTF">2025-11-03T11:34:21Z</dcterms:modified>
</cp:coreProperties>
</file>