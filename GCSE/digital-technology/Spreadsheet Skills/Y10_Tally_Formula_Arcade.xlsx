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My Drive\01_Classes\05_GCSE_DigiTech\01_New DigiTech Sept2026\01_Spreadsheet Skills\"/>
    </mc:Choice>
  </mc:AlternateContent>
  <xr:revisionPtr revIDLastSave="0" documentId="8_{1FD688E9-332B-42AE-B2EF-69401743A54B}" xr6:coauthVersionLast="47" xr6:coauthVersionMax="47" xr10:uidLastSave="{00000000-0000-0000-0000-000000000000}"/>
  <bookViews>
    <workbookView xWindow="-120" yWindow="-120" windowWidth="29040" windowHeight="15720" xr2:uid="{00000000-000D-0000-FFFF-FFFF00000000}"/>
  </bookViews>
  <sheets>
    <sheet name="START HERE" sheetId="1" r:id="rId1"/>
    <sheet name="1 OPERATIONS" sheetId="2" r:id="rId2"/>
    <sheet name="2 BASIC FUNCTIONS" sheetId="3" r:id="rId3"/>
    <sheet name="3 MEDIUM FUNCTIONS" sheetId="4" r:id="rId4"/>
    <sheet name="4 DYNAMIC FUNCTIONS" sheetId="5" r:id="rId5"/>
    <sheet name="5 BOSS BATTLE"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6" i="6" l="1"/>
  <c r="J15" i="6"/>
  <c r="J14" i="6"/>
  <c r="J13" i="6"/>
  <c r="J12" i="6"/>
  <c r="M20" i="4"/>
  <c r="M19" i="4"/>
  <c r="M18" i="4"/>
  <c r="M17" i="4"/>
  <c r="M16" i="4"/>
  <c r="M15" i="4"/>
  <c r="M14" i="4"/>
  <c r="M13" i="4"/>
  <c r="M12" i="4"/>
  <c r="M11" i="4"/>
  <c r="J16" i="3"/>
  <c r="J15" i="3"/>
  <c r="J14" i="3"/>
  <c r="J13" i="3"/>
  <c r="J12" i="3"/>
  <c r="J11" i="3"/>
  <c r="F34" i="2"/>
  <c r="F33" i="2"/>
  <c r="F32" i="2"/>
  <c r="F31" i="2"/>
  <c r="F30" i="2"/>
  <c r="F29" i="2"/>
  <c r="J23" i="2"/>
  <c r="D23" i="2"/>
  <c r="J22" i="2"/>
  <c r="D22" i="2"/>
  <c r="J21" i="2"/>
  <c r="D21" i="2"/>
  <c r="J20" i="2"/>
  <c r="D20" i="2"/>
  <c r="J19" i="2"/>
  <c r="D19" i="2"/>
  <c r="J15" i="2"/>
  <c r="D15" i="2"/>
  <c r="J14" i="2"/>
  <c r="D14" i="2"/>
  <c r="J13" i="2"/>
  <c r="D13" i="2"/>
  <c r="J12" i="2"/>
  <c r="D12" i="2"/>
  <c r="J11" i="2"/>
  <c r="D11" i="2"/>
</calcChain>
</file>

<file path=xl/sharedStrings.xml><?xml version="1.0" encoding="utf-8"?>
<sst xmlns="http://schemas.openxmlformats.org/spreadsheetml/2006/main" count="512" uniqueCount="316">
  <si>
    <t>TALLY'S FORMULA ARCADE | SKILLS BUILDER</t>
  </si>
  <si>
    <t>GCSE Digital Technology Unit 2 | Build spreadsheet formula confidence one level at a time</t>
  </si>
  <si>
    <t>🎮 START SCREEN</t>
  </si>
  <si>
    <t>TALLY TIP: formulas always begin with = and should use cell references whenever possible.</t>
  </si>
  <si>
    <t>MISSION BRIEF
You are joining Tally in the Formula Arcade. Each level teaches one small group of spreadsheet formulas. Work through the sheets in order. Yellow cells are where YOU type a formula. Green ticks mean your result is correct.
The aim is not speed. The aim is to understand what each formula is doing.</t>
  </si>
  <si>
    <t>🤖 TALLY SAYS
1. Click the yellow answer cell.
2. Type = to begin.
3. Click the cells you want to use.
4. Press Enter.
5. Copy formulas down when the pattern repeats.</t>
  </si>
  <si>
    <t>🕹️ LEVEL MAP</t>
  </si>
  <si>
    <t>⭐ WJEC APPENDIX A | FORMULA LEVELS USED HERE</t>
  </si>
  <si>
    <t>Level</t>
  </si>
  <si>
    <t>Sheet</t>
  </si>
  <si>
    <t>WJEC level</t>
  </si>
  <si>
    <t>Formula focus</t>
  </si>
  <si>
    <t>Goal</t>
  </si>
  <si>
    <t>Functions in this workbook</t>
  </si>
  <si>
    <t>1</t>
  </si>
  <si>
    <t>OPERATION STATION</t>
  </si>
  <si>
    <t>Basic</t>
  </si>
  <si>
    <t>+  −  ×  ÷  and percentages</t>
  </si>
  <si>
    <t>Start here</t>
  </si>
  <si>
    <t>★ BASIC</t>
  </si>
  <si>
    <t>+  −  ×  ÷, SUM, AVERAGE, COUNT, COUNTA, MAX, MIN, IF</t>
  </si>
  <si>
    <t>2</t>
  </si>
  <si>
    <t>FUNCTION FACTORY</t>
  </si>
  <si>
    <t>SUM, AVERAGE, MAX, MIN, COUNTA (+ COUNT and IF bonus)</t>
  </si>
  <si>
    <t>Build confidence</t>
  </si>
  <si>
    <t>★★ MEDIUM</t>
  </si>
  <si>
    <t>VLOOKUP, COUNTIF, SUMIF, AVERAGEIF, FIND</t>
  </si>
  <si>
    <t>3</t>
  </si>
  <si>
    <t>ANALYSIS ARENA</t>
  </si>
  <si>
    <t>Medium</t>
  </si>
  <si>
    <t>Compare categories</t>
  </si>
  <si>
    <t>★★★ COMPLEX</t>
  </si>
  <si>
    <t>FILTER, SORT, SORTBY, UNIQUE</t>
  </si>
  <si>
    <t>4</t>
  </si>
  <si>
    <t>DYNAMIC LAB</t>
  </si>
  <si>
    <t>Complex</t>
  </si>
  <si>
    <t>UNIQUE, SORT, SORTBY, FILTER</t>
  </si>
  <si>
    <t>Live lists and views</t>
  </si>
  <si>
    <t>Other Appendix A functions exist, but this workbook deliberately keeps the first practice focused.</t>
  </si>
  <si>
    <t>5</t>
  </si>
  <si>
    <t>BOSS BATTLE</t>
  </si>
  <si>
    <t>Mixed</t>
  </si>
  <si>
    <t>Choose the right formula to solve a mini client brief</t>
  </si>
  <si>
    <t>Put it together</t>
  </si>
  <si>
    <t>🧩 FORMULA ANATOMY</t>
  </si>
  <si>
    <t>= B7 * C7</t>
  </si>
  <si>
    <t>=
Start a formula</t>
  </si>
  <si>
    <t>B7 and C7
Cell references</t>
  </si>
  <si>
    <t>*
Multiply</t>
  </si>
  <si>
    <t>WJEC GCSE Digital Technology specification, Appendix A (Spreadsheet Skills): https://www.wjec.co.uk/media/hulec4tj/wjec-gcse-digital-technology-specification-e.pdf</t>
  </si>
  <si>
    <t>LEVEL 1 | OPERATION STATION</t>
  </si>
  <si>
    <t>Basic formula practice | Addition, subtraction, multiplication, division and percentages</t>
  </si>
  <si>
    <t>🎮 ★ BASIC</t>
  </si>
  <si>
    <t>RULE OF THE ARCADE: type a FORMULA into every yellow cell. Do not type the final answer. The first example in each section shows the pattern. Then it is your turn.</t>
  </si>
  <si>
    <t>➕ POWER-UP POINTS | Addition</t>
  </si>
  <si>
    <t>➖ BUDGET DROP | Subtraction</t>
  </si>
  <si>
    <t>Start Points</t>
  </si>
  <si>
    <t>Bonus Points</t>
  </si>
  <si>
    <t>TOTAL | type formula</t>
  </si>
  <si>
    <t>Check</t>
  </si>
  <si>
    <t>Formula pattern</t>
  </si>
  <si>
    <t>Budget £</t>
  </si>
  <si>
    <t>Spent £</t>
  </si>
  <si>
    <t>LEFT | type formula</t>
  </si>
  <si>
    <t>=A11+B11</t>
  </si>
  <si>
    <t>=G11-H11</t>
  </si>
  <si>
    <t>✖ TICKET BOOST | Multiplication</t>
  </si>
  <si>
    <t>➗ TEAM SPLIT | Division</t>
  </si>
  <si>
    <t>Ticket Price £</t>
  </si>
  <si>
    <t>Tickets</t>
  </si>
  <si>
    <t>Total Cost £</t>
  </si>
  <si>
    <t>People</t>
  </si>
  <si>
    <t>EACH £ | type formula</t>
  </si>
  <si>
    <t>=A19*B19</t>
  </si>
  <si>
    <t>=G19/H19</t>
  </si>
  <si>
    <t>％ DISCOUNT DASH | Percentage formulas</t>
  </si>
  <si>
    <t>Remember: 20% stored in a cell is already 0.20. To find 20% of a value, multiply the value by the percentage cell. To find a sale price, subtract the discount from the original price.</t>
  </si>
  <si>
    <t>Item</t>
  </si>
  <si>
    <t>Original Price £</t>
  </si>
  <si>
    <t>Discount %</t>
  </si>
  <si>
    <t>Discount £ | formula</t>
  </si>
  <si>
    <t>Sale Price £ | formula</t>
  </si>
  <si>
    <t>FORMULA COACH
Find the discount:
=B29*C29
Then find the sale price:
=B29-D29
⭐ Challenge: could you calculate the sale price in ONE formula?</t>
  </si>
  <si>
    <t>Headset</t>
  </si>
  <si>
    <t>Game Pad</t>
  </si>
  <si>
    <t>Mouse</t>
  </si>
  <si>
    <t>Keyboard</t>
  </si>
  <si>
    <t>Desk Mat</t>
  </si>
  <si>
    <t>Webcam</t>
  </si>
  <si>
    <t>🏁 LEVEL 1 CHECKPOINT</t>
  </si>
  <si>
    <t>I can:
□ start a formula with =
□ use +  -  *  /
□ use cell references
□ calculate a percentage
□ copy a formula down</t>
  </si>
  <si>
    <t>TALLY'S LEVEL-UP TIP
If the formula pattern repeats, write it once and use the fill handle. Excel will adjust relative cell references for you.</t>
  </si>
  <si>
    <t>LEVEL 2 | FUNCTION FACTORY</t>
  </si>
  <si>
    <t>Basic functions | SUM, AVERAGE, MAX, MIN and COUNTA</t>
  </si>
  <si>
    <t>Functions save time when you have a whole RANGE of cells to calculate. The function name goes after = and the range goes inside brackets.</t>
  </si>
  <si>
    <t>📊 PIXEL CUP | Source data</t>
  </si>
  <si>
    <t>🧪 FUNCTION TEST BENCH</t>
  </si>
  <si>
    <t>Player</t>
  </si>
  <si>
    <t>Tickets Sold</t>
  </si>
  <si>
    <t>Rating /5</t>
  </si>
  <si>
    <t>Feedback?</t>
  </si>
  <si>
    <t>House</t>
  </si>
  <si>
    <t>Mission</t>
  </si>
  <si>
    <t>Function</t>
  </si>
  <si>
    <t>Type formula here</t>
  </si>
  <si>
    <t>Plain English</t>
  </si>
  <si>
    <t>Ari</t>
  </si>
  <si>
    <t>Yes</t>
  </si>
  <si>
    <t>Cadog</t>
  </si>
  <si>
    <t>Total tickets sold</t>
  </si>
  <si>
    <t>SUM</t>
  </si>
  <si>
    <t>Add every number in B11:B22</t>
  </si>
  <si>
    <t>Bryn</t>
  </si>
  <si>
    <t>Teilo</t>
  </si>
  <si>
    <t>Average rating</t>
  </si>
  <si>
    <t>AVERAGE</t>
  </si>
  <si>
    <t>Find the mean of C11:C22</t>
  </si>
  <si>
    <t>Carys</t>
  </si>
  <si>
    <t>Non</t>
  </si>
  <si>
    <t>Highest tickets sold</t>
  </si>
  <si>
    <t>MAX</t>
  </si>
  <si>
    <t>Find the biggest value in B11:B22</t>
  </si>
  <si>
    <t>Dylan</t>
  </si>
  <si>
    <t>Dyfrig</t>
  </si>
  <si>
    <t>Lowest tickets sold</t>
  </si>
  <si>
    <t>MIN</t>
  </si>
  <si>
    <t>Find the smallest value in B11:B22</t>
  </si>
  <si>
    <t>Efa</t>
  </si>
  <si>
    <t>Illtyd</t>
  </si>
  <si>
    <t>Feedback responses</t>
  </si>
  <si>
    <t>COUNTA</t>
  </si>
  <si>
    <t>Count non-empty cells in D11:D22</t>
  </si>
  <si>
    <t>Ffion</t>
  </si>
  <si>
    <t>Players listed</t>
  </si>
  <si>
    <t>Count names in A11:A22</t>
  </si>
  <si>
    <t>Gethin</t>
  </si>
  <si>
    <t>Hana</t>
  </si>
  <si>
    <t>Ioan</t>
  </si>
  <si>
    <t>Jaya</t>
  </si>
  <si>
    <t>Kai</t>
  </si>
  <si>
    <t>Lowri</t>
  </si>
  <si>
    <t>🎯 WHICH FUNCTION SHOULD I USE?</t>
  </si>
  <si>
    <t>Question</t>
  </si>
  <si>
    <t>Think</t>
  </si>
  <si>
    <t>How much altogether?</t>
  </si>
  <si>
    <t>✅</t>
  </si>
  <si>
    <t>TOTAL</t>
  </si>
  <si>
    <t>What is typical/mean?</t>
  </si>
  <si>
    <t>MEAN</t>
  </si>
  <si>
    <t>What is the highest value?</t>
  </si>
  <si>
    <t>BIGGEST</t>
  </si>
  <si>
    <t>What is the lowest value?</t>
  </si>
  <si>
    <t>SMALLEST</t>
  </si>
  <si>
    <t>How many non-empty cells?</t>
  </si>
  <si>
    <t>COUNT FILLED CELLS</t>
  </si>
  <si>
    <t>✨ BONUS LIFE | COUNT and IF</t>
  </si>
  <si>
    <t>COUNT counts cells containing NUMBERS.
COUNTA counts any NON-EMPTY cell.
Try:
=COUNT(C11:C22)
Then compare it with:
=COUNTA(D11:D22)</t>
  </si>
  <si>
    <t>IF is also a BASIC Appendix A function.
Example:
=IF(C11&gt;=4,"Strong","Review")
It asks a question and returns one result if TRUE and another if FALSE.
You do not need IF for the main tasks on this sheet.</t>
  </si>
  <si>
    <t>LEVEL 3 | ANALYSIS ARENA</t>
  </si>
  <si>
    <t>Medium functions | COUNTIF, SUMIF, AVERAGEIF, VLOOKUP and FIND</t>
  </si>
  <si>
    <t>🎮 ★★ MEDIUM</t>
  </si>
  <si>
    <t>Medium functions answer questions about categories. Instead of calculating every row, you tell Excel what to look for and what to do with matching records.</t>
  </si>
  <si>
    <t>📁 BOOKING DATA | Use this for the formula missions</t>
  </si>
  <si>
    <t>🧠 MEDIUM FORMULA MISSIONS</t>
  </si>
  <si>
    <t>Booking ID</t>
  </si>
  <si>
    <t>Zone</t>
  </si>
  <si>
    <t>Ticket Type</t>
  </si>
  <si>
    <t>Marketing Source</t>
  </si>
  <si>
    <t>Total Spend £</t>
  </si>
  <si>
    <t>Target</t>
  </si>
  <si>
    <t>Formula model</t>
  </si>
  <si>
    <t>PFC-26-001</t>
  </si>
  <si>
    <t>VR Arena</t>
  </si>
  <si>
    <t>Day Pass</t>
  </si>
  <si>
    <t>School Visit</t>
  </si>
  <si>
    <t>How many VR Arena bookings?</t>
  </si>
  <si>
    <t>COUNTIF</t>
  </si>
  <si>
    <t>=COUNTIF(B11:B34,"VR Arena")</t>
  </si>
  <si>
    <t>PFC-26-002</t>
  </si>
  <si>
    <t>VIP Pass</t>
  </si>
  <si>
    <t>TikTok</t>
  </si>
  <si>
    <t>How many Weekend Pass bookings?</t>
  </si>
  <si>
    <t>Weekend Pass</t>
  </si>
  <si>
    <t>PFC-26-003</t>
  </si>
  <si>
    <t>Instagram</t>
  </si>
  <si>
    <t>Total spend from Indie Arcade?</t>
  </si>
  <si>
    <t>SUMIF</t>
  </si>
  <si>
    <t>Indie Arcade</t>
  </si>
  <si>
    <t>=SUMIF(B11:B34,"Indie Arcade",F11:F34)</t>
  </si>
  <si>
    <t>PFC-26-004</t>
  </si>
  <si>
    <t>Esports Stage</t>
  </si>
  <si>
    <t>Friend</t>
  </si>
  <si>
    <t>Total spend from TikTok?</t>
  </si>
  <si>
    <t>PFC-26-005</t>
  </si>
  <si>
    <t>Average rating for Creator Lab?</t>
  </si>
  <si>
    <t>AVERAGEIF</t>
  </si>
  <si>
    <t>Creator Lab</t>
  </si>
  <si>
    <t>=AVERAGEIF(B11:B34,"Creator Lab",G11:G34)</t>
  </si>
  <si>
    <t>PFC-26-006</t>
  </si>
  <si>
    <t>Average rating for VIP Pass?</t>
  </si>
  <si>
    <t>PFC-26-007</t>
  </si>
  <si>
    <t>Position of first - in PFC-26-001?</t>
  </si>
  <si>
    <t>FIND</t>
  </si>
  <si>
    <t>=FIND("-",A11)</t>
  </si>
  <si>
    <t>PFC-26-008</t>
  </si>
  <si>
    <t>Look up Day Pass price</t>
  </si>
  <si>
    <t>VLOOKUP</t>
  </si>
  <si>
    <t>=VLOOKUP(K28,$M$28:$N$30,2,FALSE)</t>
  </si>
  <si>
    <t>PFC-26-009</t>
  </si>
  <si>
    <t>Look up VIP Pass price</t>
  </si>
  <si>
    <t>PFC-26-010</t>
  </si>
  <si>
    <t>Look up Weekend Pass price</t>
  </si>
  <si>
    <t>=VLOOKUP(K30,$M$28:$N$30,2,FALSE)</t>
  </si>
  <si>
    <t>PFC-26-011</t>
  </si>
  <si>
    <t>PFC-26-012</t>
  </si>
  <si>
    <t>PFC-26-013</t>
  </si>
  <si>
    <t>🔎 VLOOKUP GARAGE | Small lookup table</t>
  </si>
  <si>
    <t>PFC-26-014</t>
  </si>
  <si>
    <t>VLOOKUP needs:
1. what to look for
2. the lookup table
3. which column to return
4. FALSE for an exact match</t>
  </si>
  <si>
    <t>PFC-26-015</t>
  </si>
  <si>
    <t>PFC-26-016</t>
  </si>
  <si>
    <t>PFC-26-017</t>
  </si>
  <si>
    <t>PFC-26-018</t>
  </si>
  <si>
    <t>PFC-26-019</t>
  </si>
  <si>
    <t>PFC-26-020</t>
  </si>
  <si>
    <t>PFC-26-021</t>
  </si>
  <si>
    <t>PFC-26-022</t>
  </si>
  <si>
    <t>🧩 FUNCTION RECIPE CARDS</t>
  </si>
  <si>
    <t>PFC-26-023</t>
  </si>
  <si>
    <t>COUNTIF
Count matches
=COUNTIF(range, criteria)</t>
  </si>
  <si>
    <t>SUMIF
Add matching values
=SUMIF(criteria_range, criteria, sum_range)</t>
  </si>
  <si>
    <t>AVERAGEIF
Average matching values
=AVERAGEIF(criteria_range, criteria, average_range)</t>
  </si>
  <si>
    <t>PFC-26-024</t>
  </si>
  <si>
    <t>LEVEL 4 | DYNAMIC LAB</t>
  </si>
  <si>
    <t>Complex dynamic formulas | UNIQUE, SORT, SORTBY and FILTER</t>
  </si>
  <si>
    <t>🎮 ★★★ COMPLEX</t>
  </si>
  <si>
    <t>These formulas can return MANY results from one formula. Excel 'spills' the answers into the cells below or beside the formula. Keep the spill area empty.</t>
  </si>
  <si>
    <t>🗃️ SOURCE DATA</t>
  </si>
  <si>
    <t>1️⃣ UNIQUE | Make one clean list</t>
  </si>
  <si>
    <t>2️⃣ SORT | Put a list in order</t>
  </si>
  <si>
    <t>Booking</t>
  </si>
  <si>
    <t>City</t>
  </si>
  <si>
    <t>Spend £</t>
  </si>
  <si>
    <t>Rating</t>
  </si>
  <si>
    <t>Task: create a list of each Zone with no duplicates.
Type in G14:
=UNIQUE(B11:B26)
You should get 4 zones.</t>
  </si>
  <si>
    <t>Task: sort the unique zone list A→Z.
Type in K14:
=SORT(UNIQUE(B11:B26))
The first result should be Creator Lab.</t>
  </si>
  <si>
    <t>B01</t>
  </si>
  <si>
    <t>Cardiff</t>
  </si>
  <si>
    <t>B02</t>
  </si>
  <si>
    <t>Bridgend</t>
  </si>
  <si>
    <t>B03</t>
  </si>
  <si>
    <t>B04</t>
  </si>
  <si>
    <t>Swansea</t>
  </si>
  <si>
    <t>B05</t>
  </si>
  <si>
    <t>Newport</t>
  </si>
  <si>
    <t>B06</t>
  </si>
  <si>
    <t>B07</t>
  </si>
  <si>
    <t>B08</t>
  </si>
  <si>
    <t>B09</t>
  </si>
  <si>
    <t>B10</t>
  </si>
  <si>
    <t>B11</t>
  </si>
  <si>
    <t>B12</t>
  </si>
  <si>
    <t>3️⃣ FILTER | Return only records that match a rule</t>
  </si>
  <si>
    <t>B13</t>
  </si>
  <si>
    <t>Task: return every booking where Spend is £80 or more.
Type in G27:
=FILTER(A11:E26,D11:D26&gt;=80)
Your output should include the complete matching rows.</t>
  </si>
  <si>
    <t>B14</t>
  </si>
  <si>
    <t>B15</t>
  </si>
  <si>
    <t>B16</t>
  </si>
  <si>
    <t>4️⃣ SORTBY | Sort full records by another column</t>
  </si>
  <si>
    <t>Task: show ALL source records ordered by Spend, highest first.
Type in A35:
=SORTBY(A11:E26,D11:D26,-1)
-1 means descending order.</t>
  </si>
  <si>
    <t>🤖 TALLY'S SPILL RULES</t>
  </si>
  <si>
    <t>• One dynamic formula can return lots of answers.
• Do not type into cells that the formula needs to spill into.
• If you see #SPILL!, clear anything blocking the output.
• SORT sorts a list or range.
• SORTBY sorts one range using values from another.
• FILTER returns only rows that meet a condition.
• UNIQUE removes repeated values from a list.</t>
  </si>
  <si>
    <t>LEVEL 5 | FORMULA BOSS BATTLE</t>
  </si>
  <si>
    <t>Mixed practice | Choose the right formula, not just the right answer</t>
  </si>
  <si>
    <t>🎮 FINAL CHALLENGE</t>
  </si>
  <si>
    <t>CLIENT BRIEF
PixelFest wants to choose which zone deserves a mini upgrade. Use the data and the formula skills from the earlier levels. Every answer should be produced with a spreadsheet formula. Then make one short recommendation.</t>
  </si>
  <si>
    <t>📊 BATTLE DATA</t>
  </si>
  <si>
    <t>⚔️ FORMULA MISSIONS</t>
  </si>
  <si>
    <t>Source</t>
  </si>
  <si>
    <t>#</t>
  </si>
  <si>
    <t>Suggested skill</t>
  </si>
  <si>
    <t>Answer</t>
  </si>
  <si>
    <t>Tally hint</t>
  </si>
  <si>
    <t>What is the TOTAL spend?</t>
  </si>
  <si>
    <t>Add B12:B23</t>
  </si>
  <si>
    <t>What is the AVERAGE rating?</t>
  </si>
  <si>
    <t>Average C12:C23</t>
  </si>
  <si>
    <t>How many VR Arena records are there?</t>
  </si>
  <si>
    <t>Count matches in A12:A23</t>
  </si>
  <si>
    <t>What is the TOTAL spend for Creator Lab?</t>
  </si>
  <si>
    <t>Match Zone, add Spend</t>
  </si>
  <si>
    <t>What is the AVERAGE rating for VR Arena?</t>
  </si>
  <si>
    <t>Match Zone, average Rating</t>
  </si>
  <si>
    <t>Create a unique list of zones</t>
  </si>
  <si>
    <t>UNIQUE</t>
  </si>
  <si>
    <t>Use output area below</t>
  </si>
  <si>
    <t>Start in F24</t>
  </si>
  <si>
    <t>Sort the full data by Spend, highest first</t>
  </si>
  <si>
    <t>SORTBY</t>
  </si>
  <si>
    <t>Start in I24</t>
  </si>
  <si>
    <t>Filter only records rated 4.6 or higher</t>
  </si>
  <si>
    <t>FILTER</t>
  </si>
  <si>
    <t>Start in I40</t>
  </si>
  <si>
    <t>Which zone deserves the upgrade?</t>
  </si>
  <si>
    <t>Your judgement</t>
  </si>
  <si>
    <t>Use at least two figures</t>
  </si>
  <si>
    <t>UNIQUE OUTPUT</t>
  </si>
  <si>
    <t>SORTBY OUTPUT | Spend high → low</t>
  </si>
  <si>
    <t>Type in I23:
=SORTBY(A12:D23,B12:B23,-1)</t>
  </si>
  <si>
    <t>🏆 CLIENT RECOMMENDATION</t>
  </si>
  <si>
    <t>Which zone should receive the upgrade?
Type your recommendation here.
Use at least TWO figures from your formula results and explain why they matter.</t>
  </si>
  <si>
    <t>Type in F23:
=UNIQUE(A12:A23)</t>
  </si>
  <si>
    <t>✅ SELF-CHECK</t>
  </si>
  <si>
    <t>□ I chose formulas rather than typing answers.
□ I used ranges accurately.
□ I used quotation marks around text criteria.
□ I understand the difference between SUM and SUMIF.
□ I understand the difference between SORT and SORTBY.
□ I used evidence in my recommendation.</t>
  </si>
  <si>
    <t>FILTER OUTPUT | Rating ≥ 4.6</t>
  </si>
  <si>
    <t>Type in I39:
=FILTER(A12:D23,C12:C23&gt;=4.6)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</si>
</sst>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5">
    <font>
      <sz val="11"/>
      <name val="Carlito"/>
    </font>
    <font>
      <b/>
      <sz val="22"/>
      <color rgb="FFFFFFFF"/>
      <name val="Carlito"/>
    </font>
    <font>
      <b/>
      <sz val="11"/>
      <color rgb="FFBFEFFF"/>
      <name val="Carlito"/>
    </font>
    <font>
      <b/>
      <sz val="11"/>
      <color rgb="FFFFFFFF"/>
      <name val="Carlito"/>
    </font>
    <font>
      <b/>
      <sz val="10"/>
      <color rgb="FF172033"/>
      <name val="Carlito"/>
    </font>
    <font>
      <sz val="11"/>
      <color rgb="FF172033"/>
      <name val="Carlito"/>
    </font>
    <font>
      <b/>
      <sz val="11"/>
      <color rgb="FF172033"/>
      <name val="Carlito"/>
    </font>
    <font>
      <b/>
      <sz val="12"/>
      <color rgb="FFFFFFFF"/>
      <name val="Carlito"/>
    </font>
    <font>
      <b/>
      <sz val="10"/>
      <color rgb="FFFFFFFF"/>
      <name val="Carlito"/>
    </font>
    <font>
      <i/>
      <sz val="11"/>
      <color rgb="FF172033"/>
      <name val="Carlito"/>
    </font>
    <font>
      <b/>
      <sz val="22"/>
      <color rgb="FFF97316"/>
      <name val="Carlito"/>
    </font>
    <font>
      <b/>
      <sz val="12"/>
      <color rgb="FF172033"/>
      <name val="Carlito"/>
    </font>
    <font>
      <sz val="9"/>
      <color rgb="FFD6E6F5"/>
      <name val="Carlito"/>
    </font>
    <font>
      <b/>
      <sz val="11"/>
      <name val="Carlito"/>
    </font>
    <font>
      <i/>
      <sz val="11"/>
      <name val="Carlito"/>
    </font>
  </fonts>
  <fills count="18">
    <fill>
      <patternFill patternType="none"/>
    </fill>
    <fill>
      <patternFill patternType="gray125"/>
    </fill>
    <fill>
      <patternFill patternType="solid">
        <fgColor rgb="FF0B1530"/>
      </patternFill>
    </fill>
    <fill>
      <patternFill patternType="solid">
        <fgColor rgb="FF18233F"/>
      </patternFill>
    </fill>
    <fill>
      <patternFill patternType="solid">
        <fgColor rgb="FF12BFEF"/>
      </patternFill>
    </fill>
    <fill>
      <patternFill patternType="solid">
        <fgColor rgb="FFFFF9D9"/>
      </patternFill>
    </fill>
    <fill>
      <patternFill patternType="solid">
        <fgColor rgb="FFEAF8FE"/>
      </patternFill>
    </fill>
    <fill>
      <patternFill patternType="solid">
        <fgColor rgb="FFF2EBFF"/>
      </patternFill>
    </fill>
    <fill>
      <patternFill patternType="solid">
        <fgColor rgb="FF7C3AED"/>
      </patternFill>
    </fill>
    <fill>
      <patternFill patternType="solid">
        <fgColor rgb="FFFFFFFF"/>
      </patternFill>
    </fill>
    <fill>
      <patternFill patternType="solid">
        <fgColor rgb="FF63C132"/>
      </patternFill>
    </fill>
    <fill>
      <patternFill patternType="solid">
        <fgColor rgb="FFEFFBEA"/>
      </patternFill>
    </fill>
    <fill>
      <patternFill patternType="solid">
        <fgColor rgb="FFF97316"/>
      </patternFill>
    </fill>
    <fill>
      <patternFill patternType="solid">
        <fgColor rgb="FFFFF1E7"/>
      </patternFill>
    </fill>
    <fill>
      <patternFill patternType="solid">
        <fgColor rgb="FFF4F6FA"/>
      </patternFill>
    </fill>
    <fill>
      <patternFill patternType="solid">
        <fgColor rgb="FFFFF3B0"/>
      </patternFill>
    </fill>
    <fill>
      <patternFill patternType="solid">
        <fgColor rgb="FFEC4899"/>
      </patternFill>
    </fill>
    <fill>
      <patternFill patternType="solid">
        <fgColor rgb="FFFCE7F3"/>
      </patternFill>
    </fill>
  </fills>
  <borders count="22">
    <border>
      <left/>
      <right/>
      <top/>
      <bottom/>
      <diagonal/>
    </border>
    <border>
      <left/>
      <right/>
      <top/>
      <bottom/>
      <diagonal/>
    </border>
    <border>
      <left style="medium">
        <color rgb="FF12BFEF"/>
      </left>
      <right/>
      <top style="medium">
        <color rgb="FF12BFEF"/>
      </top>
      <bottom/>
      <diagonal/>
    </border>
    <border>
      <left/>
      <right/>
      <top style="medium">
        <color rgb="FF12BFEF"/>
      </top>
      <bottom/>
      <diagonal/>
    </border>
    <border>
      <left/>
      <right style="medium">
        <color rgb="FF12BFEF"/>
      </right>
      <top style="medium">
        <color rgb="FF12BFEF"/>
      </top>
      <bottom/>
      <diagonal/>
    </border>
    <border>
      <left style="medium">
        <color rgb="FF12BFEF"/>
      </left>
      <right/>
      <top/>
      <bottom/>
      <diagonal/>
    </border>
    <border>
      <left/>
      <right style="medium">
        <color rgb="FF12BFEF"/>
      </right>
      <top/>
      <bottom/>
      <diagonal/>
    </border>
    <border>
      <left style="medium">
        <color rgb="FF12BFEF"/>
      </left>
      <right/>
      <top/>
      <bottom style="medium">
        <color rgb="FF12BFEF"/>
      </bottom>
      <diagonal/>
    </border>
    <border>
      <left/>
      <right/>
      <top/>
      <bottom style="medium">
        <color rgb="FF12BFEF"/>
      </bottom>
      <diagonal/>
    </border>
    <border>
      <left/>
      <right style="medium">
        <color rgb="FF12BFEF"/>
      </right>
      <top/>
      <bottom style="medium">
        <color rgb="FF12BFEF"/>
      </bottom>
      <diagonal/>
    </border>
    <border>
      <left style="medium">
        <color rgb="FF7C3AED"/>
      </left>
      <right/>
      <top style="medium">
        <color rgb="FF7C3AED"/>
      </top>
      <bottom/>
      <diagonal/>
    </border>
    <border>
      <left/>
      <right/>
      <top style="medium">
        <color rgb="FF7C3AED"/>
      </top>
      <bottom/>
      <diagonal/>
    </border>
    <border>
      <left/>
      <right style="medium">
        <color rgb="FF7C3AED"/>
      </right>
      <top style="medium">
        <color rgb="FF7C3AED"/>
      </top>
      <bottom/>
      <diagonal/>
    </border>
    <border>
      <left style="medium">
        <color rgb="FF7C3AED"/>
      </left>
      <right/>
      <top/>
      <bottom/>
      <diagonal/>
    </border>
    <border>
      <left/>
      <right style="medium">
        <color rgb="FF7C3AED"/>
      </right>
      <top/>
      <bottom/>
      <diagonal/>
    </border>
    <border>
      <left style="medium">
        <color rgb="FF7C3AED"/>
      </left>
      <right/>
      <top/>
      <bottom style="medium">
        <color rgb="FF7C3AED"/>
      </bottom>
      <diagonal/>
    </border>
    <border>
      <left/>
      <right/>
      <top/>
      <bottom style="medium">
        <color rgb="FF7C3AED"/>
      </bottom>
      <diagonal/>
    </border>
    <border>
      <left/>
      <right style="medium">
        <color rgb="FF7C3AED"/>
      </right>
      <top/>
      <bottom style="medium">
        <color rgb="FF7C3AED"/>
      </bottom>
      <diagonal/>
    </border>
    <border>
      <left/>
      <right/>
      <top/>
      <bottom style="thin">
        <color rgb="FFAAB6C7"/>
      </bottom>
      <diagonal/>
    </border>
    <border>
      <left/>
      <right/>
      <top/>
      <bottom style="thin">
        <color rgb="FFD8E0EA"/>
      </bottom>
      <diagonal/>
    </border>
    <border>
      <left/>
      <right style="thin">
        <color rgb="FFE6EBF2"/>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2">
    <xf numFmtId="0" fontId="0" fillId="0" borderId="0" xfId="0"/>
    <xf numFmtId="0" fontId="0" fillId="5" borderId="0" xfId="0" applyNumberFormat="1" applyFont="1" applyFill="1" applyBorder="1"/>
    <xf numFmtId="0" fontId="8" fillId="3" borderId="18" xfId="0" applyNumberFormat="1" applyFont="1" applyFill="1" applyBorder="1" applyAlignment="1">
      <alignment horizontal="center" vertical="center" wrapText="1"/>
    </xf>
    <xf numFmtId="0" fontId="0" fillId="6" borderId="0" xfId="0" applyNumberFormat="1" applyFont="1" applyFill="1" applyBorder="1" applyAlignment="1">
      <alignment wrapText="1"/>
    </xf>
    <xf numFmtId="0" fontId="0" fillId="9" borderId="0" xfId="0" applyNumberFormat="1" applyFont="1" applyFill="1" applyBorder="1" applyAlignment="1">
      <alignment wrapText="1"/>
    </xf>
    <xf numFmtId="0" fontId="0" fillId="11" borderId="0" xfId="0" applyNumberFormat="1" applyFont="1" applyFill="1" applyBorder="1" applyAlignment="1">
      <alignment wrapText="1"/>
    </xf>
    <xf numFmtId="0" fontId="0" fillId="14" borderId="0" xfId="0" applyNumberFormat="1" applyFont="1" applyFill="1" applyBorder="1"/>
    <xf numFmtId="0" fontId="6" fillId="11" borderId="0" xfId="0" applyNumberFormat="1" applyFont="1" applyFill="1" applyBorder="1"/>
    <xf numFmtId="0" fontId="6" fillId="5" borderId="0" xfId="0" applyNumberFormat="1" applyFont="1" applyFill="1" applyBorder="1"/>
    <xf numFmtId="164" fontId="6" fillId="11" borderId="0" xfId="0" applyNumberFormat="1" applyFont="1" applyFill="1" applyBorder="1"/>
    <xf numFmtId="0" fontId="0" fillId="5" borderId="19" xfId="0" applyNumberFormat="1" applyFont="1" applyFill="1" applyBorder="1"/>
    <xf numFmtId="0" fontId="1" fillId="2" borderId="0" xfId="0" applyNumberFormat="1" applyFont="1" applyFill="1" applyBorder="1" applyAlignment="1">
      <alignment horizontal="left" vertical="center"/>
    </xf>
    <xf numFmtId="0" fontId="0" fillId="0" borderId="0" xfId="0"/>
    <xf numFmtId="0" fontId="2" fillId="3" borderId="0" xfId="0" applyNumberFormat="1" applyFont="1" applyFill="1" applyBorder="1" applyAlignment="1">
      <alignment vertical="center"/>
    </xf>
    <xf numFmtId="0" fontId="3" fillId="4" borderId="0" xfId="0" applyNumberFormat="1" applyFont="1" applyFill="1" applyBorder="1" applyAlignment="1">
      <alignment horizontal="center" vertical="center"/>
    </xf>
    <xf numFmtId="0" fontId="4" fillId="5" borderId="0" xfId="0" applyNumberFormat="1" applyFont="1" applyFill="1" applyBorder="1" applyAlignment="1">
      <alignment vertical="center"/>
    </xf>
    <xf numFmtId="0" fontId="5" fillId="6" borderId="2" xfId="0" applyNumberFormat="1" applyFont="1" applyFill="1" applyBorder="1" applyAlignment="1">
      <alignment vertical="top" wrapText="1"/>
    </xf>
    <xf numFmtId="0" fontId="5" fillId="6" borderId="3" xfId="0" applyNumberFormat="1" applyFont="1" applyFill="1" applyBorder="1" applyAlignment="1">
      <alignment vertical="top" wrapText="1"/>
    </xf>
    <xf numFmtId="0" fontId="5" fillId="6" borderId="4" xfId="0" applyNumberFormat="1" applyFont="1" applyFill="1" applyBorder="1" applyAlignment="1">
      <alignment vertical="top" wrapText="1"/>
    </xf>
    <xf numFmtId="0" fontId="5" fillId="6" borderId="5" xfId="0" applyNumberFormat="1" applyFont="1" applyFill="1" applyBorder="1" applyAlignment="1">
      <alignment vertical="top" wrapText="1"/>
    </xf>
    <xf numFmtId="0" fontId="5" fillId="6" borderId="0" xfId="0" applyNumberFormat="1" applyFont="1" applyFill="1" applyBorder="1" applyAlignment="1">
      <alignment vertical="top" wrapText="1"/>
    </xf>
    <xf numFmtId="0" fontId="5" fillId="6" borderId="6" xfId="0" applyNumberFormat="1" applyFont="1" applyFill="1" applyBorder="1" applyAlignment="1">
      <alignment vertical="top" wrapText="1"/>
    </xf>
    <xf numFmtId="0" fontId="5" fillId="6" borderId="7" xfId="0" applyNumberFormat="1" applyFont="1" applyFill="1" applyBorder="1" applyAlignment="1">
      <alignment vertical="top" wrapText="1"/>
    </xf>
    <xf numFmtId="0" fontId="5" fillId="6" borderId="8" xfId="0" applyNumberFormat="1" applyFont="1" applyFill="1" applyBorder="1" applyAlignment="1">
      <alignment vertical="top" wrapText="1"/>
    </xf>
    <xf numFmtId="0" fontId="5" fillId="6" borderId="9" xfId="0" applyNumberFormat="1" applyFont="1" applyFill="1" applyBorder="1" applyAlignment="1">
      <alignment vertical="top" wrapText="1"/>
    </xf>
    <xf numFmtId="0" fontId="6" fillId="7" borderId="10" xfId="0" applyNumberFormat="1" applyFont="1" applyFill="1" applyBorder="1" applyAlignment="1">
      <alignment vertical="top" wrapText="1"/>
    </xf>
    <xf numFmtId="0" fontId="6" fillId="7" borderId="11" xfId="0" applyNumberFormat="1" applyFont="1" applyFill="1" applyBorder="1" applyAlignment="1">
      <alignment vertical="top" wrapText="1"/>
    </xf>
    <xf numFmtId="0" fontId="6" fillId="7" borderId="12" xfId="0" applyNumberFormat="1" applyFont="1" applyFill="1" applyBorder="1" applyAlignment="1">
      <alignment vertical="top" wrapText="1"/>
    </xf>
    <xf numFmtId="0" fontId="6" fillId="7" borderId="13" xfId="0" applyNumberFormat="1" applyFont="1" applyFill="1" applyBorder="1" applyAlignment="1">
      <alignment vertical="top" wrapText="1"/>
    </xf>
    <xf numFmtId="0" fontId="6" fillId="7" borderId="0" xfId="0" applyNumberFormat="1" applyFont="1" applyFill="1" applyBorder="1" applyAlignment="1">
      <alignment vertical="top" wrapText="1"/>
    </xf>
    <xf numFmtId="0" fontId="6" fillId="7" borderId="14" xfId="0" applyNumberFormat="1" applyFont="1" applyFill="1" applyBorder="1" applyAlignment="1">
      <alignment vertical="top" wrapText="1"/>
    </xf>
    <xf numFmtId="0" fontId="6" fillId="7" borderId="15" xfId="0" applyNumberFormat="1" applyFont="1" applyFill="1" applyBorder="1" applyAlignment="1">
      <alignment vertical="top" wrapText="1"/>
    </xf>
    <xf numFmtId="0" fontId="6" fillId="7" borderId="16" xfId="0" applyNumberFormat="1" applyFont="1" applyFill="1" applyBorder="1" applyAlignment="1">
      <alignment vertical="top" wrapText="1"/>
    </xf>
    <xf numFmtId="0" fontId="6" fillId="7" borderId="17" xfId="0" applyNumberFormat="1" applyFont="1" applyFill="1" applyBorder="1" applyAlignment="1">
      <alignment vertical="top" wrapText="1"/>
    </xf>
    <xf numFmtId="0" fontId="7" fillId="8" borderId="0" xfId="0" applyNumberFormat="1" applyFont="1" applyFill="1" applyBorder="1" applyAlignment="1">
      <alignment vertical="center"/>
    </xf>
    <xf numFmtId="0" fontId="7" fillId="10" borderId="0" xfId="0" applyNumberFormat="1" applyFont="1" applyFill="1" applyBorder="1" applyAlignment="1">
      <alignment vertical="center"/>
    </xf>
    <xf numFmtId="0" fontId="8" fillId="3" borderId="18" xfId="0" applyNumberFormat="1" applyFont="1" applyFill="1" applyBorder="1" applyAlignment="1">
      <alignment horizontal="center" vertical="center" wrapText="1"/>
    </xf>
    <xf numFmtId="0" fontId="0" fillId="11" borderId="0" xfId="0" applyNumberFormat="1" applyFont="1" applyFill="1" applyBorder="1" applyAlignment="1">
      <alignment wrapText="1"/>
    </xf>
    <xf numFmtId="0" fontId="9" fillId="5" borderId="0" xfId="0" applyNumberFormat="1" applyFont="1" applyFill="1" applyBorder="1" applyAlignment="1">
      <alignment wrapText="1"/>
    </xf>
    <xf numFmtId="0" fontId="7" fillId="12" borderId="0" xfId="0" applyNumberFormat="1" applyFont="1" applyFill="1" applyBorder="1" applyAlignment="1">
      <alignment vertical="center"/>
    </xf>
    <xf numFmtId="0" fontId="10" fillId="13" borderId="0" xfId="0" applyNumberFormat="1" applyFont="1" applyFill="1" applyBorder="1" applyAlignment="1">
      <alignment horizontal="center" vertical="center"/>
    </xf>
    <xf numFmtId="0" fontId="11" fillId="14" borderId="0" xfId="0" applyNumberFormat="1" applyFont="1" applyFill="1" applyBorder="1" applyAlignment="1">
      <alignment horizontal="center" vertical="center" wrapText="1"/>
    </xf>
    <xf numFmtId="0" fontId="12" fillId="3" borderId="0" xfId="0" applyNumberFormat="1" applyFont="1" applyFill="1" applyBorder="1" applyAlignment="1">
      <alignment vertical="center" wrapText="1"/>
    </xf>
    <xf numFmtId="0" fontId="6" fillId="6" borderId="0" xfId="0" applyNumberFormat="1" applyFont="1" applyFill="1" applyBorder="1" applyAlignment="1">
      <alignment vertical="center" wrapText="1"/>
    </xf>
    <xf numFmtId="0" fontId="7" fillId="4" borderId="0" xfId="0" applyNumberFormat="1" applyFont="1" applyFill="1" applyBorder="1" applyAlignment="1">
      <alignment vertical="center"/>
    </xf>
    <xf numFmtId="0" fontId="7" fillId="16" borderId="0" xfId="0" applyNumberFormat="1" applyFont="1" applyFill="1" applyBorder="1" applyAlignment="1">
      <alignment vertical="center"/>
    </xf>
    <xf numFmtId="0" fontId="6" fillId="17" borderId="0" xfId="0" applyNumberFormat="1" applyFont="1" applyFill="1" applyBorder="1" applyAlignment="1">
      <alignment vertical="center" wrapText="1"/>
    </xf>
    <xf numFmtId="0" fontId="7" fillId="3" borderId="0" xfId="0" applyNumberFormat="1" applyFont="1" applyFill="1" applyBorder="1" applyAlignment="1">
      <alignment vertical="center"/>
    </xf>
    <xf numFmtId="0" fontId="6" fillId="11" borderId="0" xfId="0" applyNumberFormat="1" applyFont="1" applyFill="1" applyBorder="1" applyAlignment="1">
      <alignment vertical="top" wrapText="1"/>
    </xf>
    <xf numFmtId="0" fontId="3" fillId="10" borderId="0" xfId="0" applyNumberFormat="1" applyFont="1" applyFill="1" applyBorder="1" applyAlignment="1">
      <alignment horizontal="center" vertical="center"/>
    </xf>
    <xf numFmtId="0" fontId="6" fillId="11" borderId="0" xfId="0" applyNumberFormat="1" applyFont="1" applyFill="1" applyBorder="1" applyAlignment="1">
      <alignment vertical="center" wrapText="1"/>
    </xf>
    <xf numFmtId="0" fontId="6" fillId="17" borderId="0" xfId="0" applyNumberFormat="1" applyFont="1" applyFill="1" applyBorder="1" applyAlignment="1">
      <alignment vertical="top" wrapText="1"/>
    </xf>
    <xf numFmtId="0" fontId="3" fillId="8" borderId="0" xfId="0" applyNumberFormat="1" applyFont="1" applyFill="1" applyBorder="1" applyAlignment="1">
      <alignment horizontal="center" vertical="center"/>
    </xf>
    <xf numFmtId="0" fontId="6" fillId="7" borderId="0" xfId="0" applyNumberFormat="1" applyFont="1" applyFill="1" applyBorder="1" applyAlignment="1">
      <alignment vertical="center" wrapText="1"/>
    </xf>
    <xf numFmtId="0" fontId="6" fillId="13" borderId="0" xfId="0" applyNumberFormat="1" applyFont="1" applyFill="1" applyBorder="1" applyAlignment="1">
      <alignment vertical="center" wrapText="1"/>
    </xf>
    <xf numFmtId="0" fontId="4" fillId="11" borderId="0" xfId="0" applyNumberFormat="1" applyFont="1" applyFill="1" applyBorder="1" applyAlignment="1">
      <alignment horizontal="center" vertical="top" wrapText="1"/>
    </xf>
    <xf numFmtId="0" fontId="3" fillId="12" borderId="0" xfId="0" applyNumberFormat="1" applyFont="1" applyFill="1" applyBorder="1" applyAlignment="1">
      <alignment horizontal="center" vertical="center"/>
    </xf>
    <xf numFmtId="0" fontId="6" fillId="13" borderId="0" xfId="0" applyNumberFormat="1" applyFont="1" applyFill="1" applyBorder="1" applyAlignment="1">
      <alignment vertical="top" wrapText="1"/>
    </xf>
    <xf numFmtId="0" fontId="6" fillId="6" borderId="0" xfId="0" applyNumberFormat="1" applyFont="1" applyFill="1" applyBorder="1" applyAlignment="1">
      <alignment vertical="top" wrapText="1"/>
    </xf>
    <xf numFmtId="0" fontId="0" fillId="0" borderId="0" xfId="0" applyNumberFormat="1" applyFont="1" applyFill="1" applyBorder="1" applyAlignment="1">
      <alignment wrapText="1"/>
    </xf>
    <xf numFmtId="0" fontId="3" fillId="16" borderId="0" xfId="0" applyNumberFormat="1" applyFont="1" applyFill="1" applyBorder="1" applyAlignment="1">
      <alignment horizontal="center" vertical="center"/>
    </xf>
    <xf numFmtId="0" fontId="6" fillId="11" borderId="0" xfId="0" applyNumberFormat="1" applyFont="1" applyFill="1" applyBorder="1" applyAlignment="1">
      <alignment wrapText="1"/>
    </xf>
    <xf numFmtId="0" fontId="6" fillId="13" borderId="0" xfId="0" applyNumberFormat="1" applyFont="1" applyFill="1" applyBorder="1" applyAlignment="1">
      <alignment wrapText="1"/>
    </xf>
    <xf numFmtId="0" fontId="6" fillId="17" borderId="0" xfId="0" applyNumberFormat="1" applyFont="1" applyFill="1" applyBorder="1" applyAlignment="1">
      <alignment wrapText="1"/>
    </xf>
    <xf numFmtId="0" fontId="8" fillId="3" borderId="1" xfId="0" applyNumberFormat="1" applyFont="1" applyFill="1" applyBorder="1" applyAlignment="1">
      <alignment horizontal="center" vertical="center" wrapText="1"/>
    </xf>
    <xf numFmtId="164" fontId="6" fillId="15" borderId="21" xfId="0" applyNumberFormat="1" applyFont="1" applyFill="1" applyBorder="1"/>
    <xf numFmtId="0" fontId="13" fillId="0" borderId="21" xfId="0" applyNumberFormat="1" applyFont="1" applyFill="1" applyBorder="1" applyAlignment="1">
      <alignment horizontal="center"/>
    </xf>
    <xf numFmtId="164" fontId="0" fillId="0" borderId="21" xfId="0" applyNumberFormat="1" applyFont="1" applyFill="1" applyBorder="1"/>
    <xf numFmtId="0" fontId="0" fillId="0" borderId="21" xfId="0" applyBorder="1"/>
    <xf numFmtId="0" fontId="14" fillId="14" borderId="21" xfId="0" applyNumberFormat="1" applyFont="1" applyFill="1" applyBorder="1"/>
    <xf numFmtId="9" fontId="0" fillId="0" borderId="21" xfId="0" applyNumberFormat="1" applyFont="1" applyFill="1" applyBorder="1"/>
    <xf numFmtId="0" fontId="6" fillId="15" borderId="21" xfId="0" applyNumberFormat="1" applyFont="1" applyFill="1" applyBorder="1"/>
    <xf numFmtId="0" fontId="9" fillId="14" borderId="21" xfId="0" applyNumberFormat="1" applyFont="1" applyFill="1" applyBorder="1"/>
    <xf numFmtId="0" fontId="8" fillId="3" borderId="20" xfId="0" applyNumberFormat="1" applyFont="1" applyFill="1" applyBorder="1" applyAlignment="1">
      <alignment horizontal="center" vertical="center" wrapText="1"/>
    </xf>
    <xf numFmtId="0" fontId="0" fillId="6" borderId="21" xfId="0" applyNumberFormat="1" applyFont="1" applyFill="1" applyBorder="1"/>
    <xf numFmtId="165" fontId="0" fillId="6" borderId="21" xfId="0" applyNumberFormat="1" applyFont="1" applyFill="1" applyBorder="1"/>
    <xf numFmtId="0" fontId="0" fillId="9" borderId="21" xfId="0" applyNumberFormat="1" applyFont="1" applyFill="1" applyBorder="1"/>
    <xf numFmtId="165" fontId="0" fillId="9" borderId="21" xfId="0" applyNumberFormat="1" applyFont="1" applyFill="1" applyBorder="1"/>
    <xf numFmtId="0" fontId="0" fillId="0" borderId="21" xfId="0" applyNumberFormat="1" applyFont="1" applyFill="1" applyBorder="1" applyAlignment="1">
      <alignment wrapText="1"/>
    </xf>
    <xf numFmtId="0" fontId="6" fillId="15" borderId="21" xfId="0" applyNumberFormat="1" applyFont="1" applyFill="1" applyBorder="1" applyAlignment="1">
      <alignment wrapText="1"/>
    </xf>
    <xf numFmtId="0" fontId="13" fillId="0" borderId="21" xfId="0" applyNumberFormat="1" applyFont="1" applyFill="1" applyBorder="1" applyAlignment="1">
      <alignment horizontal="center" wrapText="1"/>
    </xf>
    <xf numFmtId="0" fontId="0" fillId="13" borderId="21" xfId="0" applyNumberFormat="1" applyFont="1" applyFill="1" applyBorder="1" applyAlignment="1">
      <alignment horizontal="center"/>
    </xf>
    <xf numFmtId="0" fontId="0" fillId="13" borderId="21" xfId="0" applyNumberFormat="1" applyFont="1" applyFill="1" applyBorder="1" applyAlignment="1">
      <alignment horizontal="center"/>
    </xf>
    <xf numFmtId="164" fontId="0" fillId="6" borderId="21" xfId="0" applyNumberFormat="1" applyFont="1" applyFill="1" applyBorder="1"/>
    <xf numFmtId="164" fontId="0" fillId="9" borderId="21" xfId="0" applyNumberFormat="1" applyFont="1" applyFill="1" applyBorder="1"/>
    <xf numFmtId="0" fontId="9" fillId="14" borderId="21" xfId="0" applyNumberFormat="1" applyFont="1" applyFill="1" applyBorder="1" applyAlignment="1">
      <alignment wrapText="1"/>
    </xf>
    <xf numFmtId="164" fontId="6" fillId="15" borderId="21" xfId="0" applyNumberFormat="1" applyFont="1" applyFill="1" applyBorder="1" applyAlignment="1">
      <alignment wrapText="1"/>
    </xf>
    <xf numFmtId="2" fontId="6" fillId="15" borderId="21" xfId="0" applyNumberFormat="1" applyFont="1" applyFill="1" applyBorder="1" applyAlignment="1">
      <alignment wrapText="1"/>
    </xf>
    <xf numFmtId="0" fontId="6" fillId="13" borderId="0" xfId="0" applyNumberFormat="1" applyFont="1" applyFill="1" applyBorder="1" applyAlignment="1">
      <alignment horizontal="center" vertical="center" wrapText="1"/>
    </xf>
    <xf numFmtId="0" fontId="0" fillId="0" borderId="21" xfId="0" applyBorder="1"/>
    <xf numFmtId="2" fontId="6" fillId="15" borderId="21" xfId="0" applyNumberFormat="1" applyFont="1" applyFill="1" applyBorder="1"/>
    <xf numFmtId="165" fontId="0" fillId="0" borderId="21" xfId="0" applyNumberFormat="1" applyFont="1" applyFill="1" applyBorder="1"/>
  </cellXfs>
  <cellStyles count="1">
    <cellStyle name="Normal" xfId="0" builtinId="0"/>
  </cellStyles>
  <dxfs count="16">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
      <font>
        <b/>
        <color rgb="FFDC2626"/>
      </font>
      <fill>
        <patternFill patternType="solid">
          <bgColor rgb="FFFEE2E2"/>
        </patternFill>
      </fill>
    </dxf>
    <dxf>
      <font>
        <b/>
        <color rgb="FF15803D"/>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topLeftCell="A4" workbookViewId="0">
      <selection sqref="A1:L2"/>
    </sheetView>
  </sheetViews>
  <sheetFormatPr defaultRowHeight="14.25"/>
  <cols>
    <col min="1" max="1" width="8" customWidth="1"/>
    <col min="2" max="2" width="22" customWidth="1"/>
    <col min="3" max="3" width="12" customWidth="1"/>
    <col min="4" max="4" width="30" customWidth="1"/>
    <col min="5" max="5" width="18" customWidth="1"/>
    <col min="6" max="6" width="3" customWidth="1"/>
    <col min="7" max="7" width="14" customWidth="1"/>
    <col min="8" max="12" width="18" customWidth="1"/>
  </cols>
  <sheetData>
    <row r="1" spans="1:12" ht="30" customHeight="1">
      <c r="A1" s="11" t="s">
        <v>0</v>
      </c>
      <c r="B1" s="12"/>
      <c r="C1" s="12"/>
      <c r="D1" s="12"/>
      <c r="E1" s="12"/>
      <c r="F1" s="12"/>
      <c r="G1" s="12"/>
      <c r="H1" s="12"/>
      <c r="I1" s="12"/>
      <c r="J1" s="12"/>
      <c r="K1" s="12"/>
      <c r="L1" s="12"/>
    </row>
    <row r="2" spans="1:12" ht="30" customHeight="1">
      <c r="A2" s="12"/>
      <c r="B2" s="12"/>
      <c r="C2" s="12"/>
      <c r="D2" s="12"/>
      <c r="E2" s="12"/>
      <c r="F2" s="12"/>
      <c r="G2" s="12"/>
      <c r="H2" s="12"/>
      <c r="I2" s="12"/>
      <c r="J2" s="12"/>
      <c r="K2" s="12"/>
      <c r="L2" s="12"/>
    </row>
    <row r="3" spans="1:12" ht="24" customHeight="1">
      <c r="A3" s="13" t="s">
        <v>1</v>
      </c>
      <c r="B3" s="12"/>
      <c r="C3" s="12"/>
      <c r="D3" s="12"/>
      <c r="E3" s="12"/>
      <c r="F3" s="12"/>
      <c r="G3" s="12"/>
      <c r="H3" s="12"/>
      <c r="I3" s="12"/>
      <c r="J3" s="12"/>
      <c r="K3" s="12"/>
      <c r="L3" s="12"/>
    </row>
    <row r="4" spans="1:12" ht="24" customHeight="1">
      <c r="A4" s="14" t="s">
        <v>2</v>
      </c>
      <c r="B4" s="14"/>
      <c r="C4" s="14"/>
      <c r="D4" s="15" t="s">
        <v>3</v>
      </c>
      <c r="E4" s="15"/>
      <c r="F4" s="15"/>
      <c r="G4" s="15"/>
      <c r="H4" s="15"/>
      <c r="I4" s="15"/>
      <c r="J4" s="15"/>
      <c r="K4" s="15"/>
      <c r="L4" s="15"/>
    </row>
    <row r="6" spans="1:12" ht="26.1" customHeight="1">
      <c r="A6" s="16" t="s">
        <v>4</v>
      </c>
      <c r="B6" s="17"/>
      <c r="C6" s="17"/>
      <c r="D6" s="17"/>
      <c r="E6" s="17"/>
      <c r="F6" s="17"/>
      <c r="G6" s="17"/>
      <c r="H6" s="18"/>
      <c r="I6" s="25" t="s">
        <v>5</v>
      </c>
      <c r="J6" s="26"/>
      <c r="K6" s="26"/>
      <c r="L6" s="27"/>
    </row>
    <row r="7" spans="1:12" ht="26.1" customHeight="1">
      <c r="A7" s="19"/>
      <c r="B7" s="20"/>
      <c r="C7" s="20"/>
      <c r="D7" s="20"/>
      <c r="E7" s="20"/>
      <c r="F7" s="20"/>
      <c r="G7" s="20"/>
      <c r="H7" s="21"/>
      <c r="I7" s="28"/>
      <c r="J7" s="29"/>
      <c r="K7" s="29"/>
      <c r="L7" s="30"/>
    </row>
    <row r="8" spans="1:12" ht="26.1" customHeight="1">
      <c r="A8" s="19"/>
      <c r="B8" s="20"/>
      <c r="C8" s="20"/>
      <c r="D8" s="20"/>
      <c r="E8" s="20"/>
      <c r="F8" s="20"/>
      <c r="G8" s="20"/>
      <c r="H8" s="21"/>
      <c r="I8" s="28"/>
      <c r="J8" s="29"/>
      <c r="K8" s="29"/>
      <c r="L8" s="30"/>
    </row>
    <row r="9" spans="1:12" ht="26.1" customHeight="1">
      <c r="A9" s="19"/>
      <c r="B9" s="20"/>
      <c r="C9" s="20"/>
      <c r="D9" s="20"/>
      <c r="E9" s="20"/>
      <c r="F9" s="20"/>
      <c r="G9" s="20"/>
      <c r="H9" s="21"/>
      <c r="I9" s="28"/>
      <c r="J9" s="29"/>
      <c r="K9" s="29"/>
      <c r="L9" s="30"/>
    </row>
    <row r="10" spans="1:12" ht="26.1" customHeight="1">
      <c r="A10" s="22"/>
      <c r="B10" s="23"/>
      <c r="C10" s="23"/>
      <c r="D10" s="23"/>
      <c r="E10" s="23"/>
      <c r="F10" s="23"/>
      <c r="G10" s="23"/>
      <c r="H10" s="24"/>
      <c r="I10" s="31"/>
      <c r="J10" s="32"/>
      <c r="K10" s="32"/>
      <c r="L10" s="33"/>
    </row>
    <row r="11" spans="1:12" ht="21.95" customHeight="1"/>
    <row r="12" spans="1:12" ht="21.95" customHeight="1">
      <c r="A12" s="34" t="s">
        <v>6</v>
      </c>
      <c r="B12" s="34"/>
      <c r="C12" s="34"/>
      <c r="D12" s="34"/>
      <c r="E12" s="34"/>
      <c r="F12" s="34"/>
      <c r="G12" s="35" t="s">
        <v>7</v>
      </c>
      <c r="H12" s="35"/>
      <c r="I12" s="35"/>
      <c r="J12" s="35"/>
      <c r="K12" s="35"/>
      <c r="L12" s="35"/>
    </row>
    <row r="13" spans="1:12" ht="21.95" customHeight="1">
      <c r="A13" s="2" t="s">
        <v>8</v>
      </c>
      <c r="B13" s="2" t="s">
        <v>9</v>
      </c>
      <c r="C13" s="2" t="s">
        <v>10</v>
      </c>
      <c r="D13" s="2" t="s">
        <v>11</v>
      </c>
      <c r="E13" s="2" t="s">
        <v>12</v>
      </c>
      <c r="G13" s="2" t="s">
        <v>8</v>
      </c>
      <c r="H13" s="36" t="s">
        <v>13</v>
      </c>
      <c r="I13" s="36"/>
      <c r="J13" s="36"/>
      <c r="K13" s="36"/>
      <c r="L13" s="36"/>
    </row>
    <row r="14" spans="1:12" ht="33.950000000000003" customHeight="1">
      <c r="A14" s="3" t="s">
        <v>14</v>
      </c>
      <c r="B14" s="3" t="s">
        <v>15</v>
      </c>
      <c r="C14" s="3" t="s">
        <v>16</v>
      </c>
      <c r="D14" s="3" t="s">
        <v>17</v>
      </c>
      <c r="E14" s="3" t="s">
        <v>18</v>
      </c>
      <c r="G14" s="5" t="s">
        <v>19</v>
      </c>
      <c r="H14" s="37" t="s">
        <v>20</v>
      </c>
      <c r="I14" s="37"/>
      <c r="J14" s="37"/>
      <c r="K14" s="37"/>
      <c r="L14" s="37"/>
    </row>
    <row r="15" spans="1:12" ht="33.950000000000003" customHeight="1">
      <c r="A15" s="4" t="s">
        <v>21</v>
      </c>
      <c r="B15" s="4" t="s">
        <v>22</v>
      </c>
      <c r="C15" s="4" t="s">
        <v>16</v>
      </c>
      <c r="D15" s="4" t="s">
        <v>23</v>
      </c>
      <c r="E15" s="4" t="s">
        <v>24</v>
      </c>
      <c r="G15" s="5" t="s">
        <v>25</v>
      </c>
      <c r="H15" s="37" t="s">
        <v>26</v>
      </c>
      <c r="I15" s="37"/>
      <c r="J15" s="37"/>
      <c r="K15" s="37"/>
      <c r="L15" s="37"/>
    </row>
    <row r="16" spans="1:12" ht="33.950000000000003" customHeight="1">
      <c r="A16" s="3" t="s">
        <v>27</v>
      </c>
      <c r="B16" s="3" t="s">
        <v>28</v>
      </c>
      <c r="C16" s="3" t="s">
        <v>29</v>
      </c>
      <c r="D16" s="3" t="s">
        <v>26</v>
      </c>
      <c r="E16" s="3" t="s">
        <v>30</v>
      </c>
      <c r="G16" s="5" t="s">
        <v>31</v>
      </c>
      <c r="H16" s="37" t="s">
        <v>32</v>
      </c>
      <c r="I16" s="37"/>
      <c r="J16" s="37"/>
      <c r="K16" s="37"/>
      <c r="L16" s="37"/>
    </row>
    <row r="17" spans="1:12" ht="33.950000000000003" customHeight="1">
      <c r="A17" s="4" t="s">
        <v>33</v>
      </c>
      <c r="B17" s="4" t="s">
        <v>34</v>
      </c>
      <c r="C17" s="4" t="s">
        <v>35</v>
      </c>
      <c r="D17" s="4" t="s">
        <v>36</v>
      </c>
      <c r="E17" s="4" t="s">
        <v>37</v>
      </c>
      <c r="G17" s="38"/>
      <c r="H17" s="38" t="s">
        <v>38</v>
      </c>
      <c r="I17" s="38"/>
      <c r="J17" s="38"/>
      <c r="K17" s="38"/>
      <c r="L17" s="38"/>
    </row>
    <row r="18" spans="1:12" ht="33.950000000000003" customHeight="1">
      <c r="A18" s="3" t="s">
        <v>39</v>
      </c>
      <c r="B18" s="3" t="s">
        <v>40</v>
      </c>
      <c r="C18" s="3" t="s">
        <v>41</v>
      </c>
      <c r="D18" s="3" t="s">
        <v>42</v>
      </c>
      <c r="E18" s="3" t="s">
        <v>43</v>
      </c>
    </row>
    <row r="19" spans="1:12" ht="21.95" customHeight="1"/>
    <row r="20" spans="1:12" ht="21.95" customHeight="1">
      <c r="A20" s="39" t="s">
        <v>44</v>
      </c>
      <c r="B20" s="39"/>
      <c r="C20" s="39"/>
      <c r="D20" s="39"/>
      <c r="E20" s="39"/>
      <c r="F20" s="39"/>
      <c r="G20" s="39"/>
      <c r="H20" s="39"/>
      <c r="I20" s="39"/>
      <c r="J20" s="39"/>
      <c r="K20" s="39"/>
      <c r="L20" s="39"/>
    </row>
    <row r="21" spans="1:12" ht="21.95" customHeight="1">
      <c r="A21" s="40" t="s">
        <v>45</v>
      </c>
      <c r="B21" s="40"/>
      <c r="C21" s="40"/>
      <c r="D21" s="41" t="s">
        <v>46</v>
      </c>
      <c r="E21" s="41"/>
      <c r="F21" s="41"/>
      <c r="G21" s="41" t="s">
        <v>47</v>
      </c>
      <c r="H21" s="41"/>
      <c r="I21" s="41"/>
      <c r="J21" s="41" t="s">
        <v>48</v>
      </c>
      <c r="K21" s="41"/>
      <c r="L21" s="41"/>
    </row>
    <row r="22" spans="1:12" ht="21.95" customHeight="1">
      <c r="A22" s="40"/>
      <c r="B22" s="40"/>
      <c r="C22" s="40"/>
      <c r="D22" s="41"/>
      <c r="E22" s="41"/>
      <c r="F22" s="41"/>
      <c r="G22" s="41"/>
      <c r="H22" s="41"/>
      <c r="I22" s="41"/>
      <c r="J22" s="41"/>
      <c r="K22" s="41"/>
      <c r="L22" s="41"/>
    </row>
    <row r="23" spans="1:12" ht="21.95" customHeight="1">
      <c r="A23" s="40"/>
      <c r="B23" s="40"/>
      <c r="C23" s="40"/>
      <c r="D23" s="41"/>
      <c r="E23" s="41"/>
      <c r="F23" s="41"/>
      <c r="G23" s="41"/>
      <c r="H23" s="41"/>
      <c r="I23" s="41"/>
      <c r="J23" s="41"/>
      <c r="K23" s="41"/>
      <c r="L23" s="41"/>
    </row>
    <row r="24" spans="1:12" ht="21.95" customHeight="1"/>
    <row r="25" spans="1:12" ht="21.95" customHeight="1">
      <c r="A25" s="42" t="s">
        <v>49</v>
      </c>
      <c r="B25" s="42"/>
      <c r="C25" s="42"/>
      <c r="D25" s="42"/>
      <c r="E25" s="42"/>
      <c r="F25" s="42"/>
      <c r="G25" s="42"/>
      <c r="H25" s="42"/>
      <c r="I25" s="42"/>
      <c r="J25" s="42"/>
      <c r="K25" s="42"/>
      <c r="L25" s="42"/>
    </row>
    <row r="26" spans="1:12" ht="21.95" customHeight="1">
      <c r="A26" s="42"/>
      <c r="B26" s="42"/>
      <c r="C26" s="42"/>
      <c r="D26" s="42"/>
      <c r="E26" s="42"/>
      <c r="F26" s="42"/>
      <c r="G26" s="42"/>
      <c r="H26" s="42"/>
      <c r="I26" s="42"/>
      <c r="J26" s="42"/>
      <c r="K26" s="42"/>
      <c r="L26" s="42"/>
    </row>
  </sheetData>
  <mergeCells count="18">
    <mergeCell ref="A25:L26"/>
    <mergeCell ref="G17:L17"/>
    <mergeCell ref="A20:L20"/>
    <mergeCell ref="A21:C23"/>
    <mergeCell ref="D21:F23"/>
    <mergeCell ref="G21:I23"/>
    <mergeCell ref="J21:L23"/>
    <mergeCell ref="A12:L12"/>
    <mergeCell ref="H13:L13"/>
    <mergeCell ref="H14:L14"/>
    <mergeCell ref="H15:L15"/>
    <mergeCell ref="H16:L16"/>
    <mergeCell ref="A1:L2"/>
    <mergeCell ref="A3:L3"/>
    <mergeCell ref="A4:C4"/>
    <mergeCell ref="D4:L4"/>
    <mergeCell ref="A6:H10"/>
    <mergeCell ref="I6:L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workbookViewId="0">
      <selection activeCell="A26" sqref="A26:L27"/>
    </sheetView>
  </sheetViews>
  <sheetFormatPr defaultRowHeight="14.25"/>
  <cols>
    <col min="1" max="2" width="14" customWidth="1"/>
    <col min="3" max="3" width="18" customWidth="1"/>
    <col min="4" max="4" width="16.625" bestFit="1" customWidth="1"/>
    <col min="5" max="5" width="18" customWidth="1"/>
    <col min="6" max="6" width="5.75" bestFit="1" customWidth="1"/>
    <col min="7" max="8" width="14" customWidth="1"/>
    <col min="9" max="9" width="18" customWidth="1"/>
    <col min="10" max="10" width="10" customWidth="1"/>
    <col min="11" max="11" width="18" customWidth="1"/>
    <col min="12" max="12" width="10" customWidth="1"/>
  </cols>
  <sheetData>
    <row r="1" spans="1:12" ht="21" customHeight="1">
      <c r="A1" s="11" t="s">
        <v>50</v>
      </c>
      <c r="B1" s="12"/>
      <c r="C1" s="12"/>
      <c r="D1" s="12"/>
      <c r="E1" s="12"/>
      <c r="F1" s="12"/>
      <c r="G1" s="12"/>
      <c r="H1" s="12"/>
      <c r="I1" s="12"/>
      <c r="J1" s="12"/>
      <c r="K1" s="12"/>
      <c r="L1" s="12"/>
    </row>
    <row r="2" spans="1:12" ht="21" customHeight="1">
      <c r="A2" s="12"/>
      <c r="B2" s="12"/>
      <c r="C2" s="12"/>
      <c r="D2" s="12"/>
      <c r="E2" s="12"/>
      <c r="F2" s="12"/>
      <c r="G2" s="12"/>
      <c r="H2" s="12"/>
      <c r="I2" s="12"/>
      <c r="J2" s="12"/>
      <c r="K2" s="12"/>
      <c r="L2" s="12"/>
    </row>
    <row r="3" spans="1:12" ht="21" customHeight="1">
      <c r="A3" s="13" t="s">
        <v>51</v>
      </c>
      <c r="B3" s="12"/>
      <c r="C3" s="12"/>
      <c r="D3" s="12"/>
      <c r="E3" s="12"/>
      <c r="F3" s="12"/>
      <c r="G3" s="12"/>
      <c r="H3" s="12"/>
      <c r="I3" s="12"/>
      <c r="J3" s="12"/>
      <c r="K3" s="12"/>
      <c r="L3" s="12"/>
    </row>
    <row r="4" spans="1:12" ht="21" customHeight="1">
      <c r="A4" s="14" t="s">
        <v>52</v>
      </c>
      <c r="B4" s="14"/>
      <c r="C4" s="14"/>
      <c r="D4" s="15" t="s">
        <v>3</v>
      </c>
      <c r="E4" s="15"/>
      <c r="F4" s="15"/>
      <c r="G4" s="15"/>
      <c r="H4" s="15"/>
      <c r="I4" s="15"/>
      <c r="J4" s="15"/>
      <c r="K4" s="15"/>
      <c r="L4" s="15"/>
    </row>
    <row r="5" spans="1:12" ht="21" customHeight="1"/>
    <row r="6" spans="1:12" ht="21" customHeight="1">
      <c r="A6" s="43" t="s">
        <v>53</v>
      </c>
      <c r="B6" s="43"/>
      <c r="C6" s="43"/>
      <c r="D6" s="43"/>
      <c r="E6" s="43"/>
      <c r="F6" s="43"/>
      <c r="G6" s="43"/>
      <c r="H6" s="43"/>
      <c r="I6" s="43"/>
      <c r="J6" s="43"/>
      <c r="K6" s="43"/>
      <c r="L6" s="43"/>
    </row>
    <row r="7" spans="1:12" ht="21" customHeight="1">
      <c r="A7" s="43"/>
      <c r="B7" s="43"/>
      <c r="C7" s="43"/>
      <c r="D7" s="43"/>
      <c r="E7" s="43"/>
      <c r="F7" s="43"/>
      <c r="G7" s="43"/>
      <c r="H7" s="43"/>
      <c r="I7" s="43"/>
      <c r="J7" s="43"/>
      <c r="K7" s="43"/>
      <c r="L7" s="43"/>
    </row>
    <row r="8" spans="1:12" ht="21" customHeight="1"/>
    <row r="9" spans="1:12" ht="21" customHeight="1">
      <c r="A9" s="44" t="s">
        <v>54</v>
      </c>
      <c r="B9" s="44"/>
      <c r="C9" s="44"/>
      <c r="D9" s="44"/>
      <c r="E9" s="44"/>
      <c r="G9" s="34" t="s">
        <v>55</v>
      </c>
      <c r="H9" s="34"/>
      <c r="I9" s="34"/>
      <c r="J9" s="34"/>
      <c r="K9" s="34"/>
    </row>
    <row r="10" spans="1:12" ht="21" customHeight="1">
      <c r="A10" s="64" t="s">
        <v>56</v>
      </c>
      <c r="B10" s="64" t="s">
        <v>57</v>
      </c>
      <c r="C10" s="64" t="s">
        <v>58</v>
      </c>
      <c r="D10" s="64" t="s">
        <v>59</v>
      </c>
      <c r="E10" s="64" t="s">
        <v>60</v>
      </c>
      <c r="G10" s="64" t="s">
        <v>61</v>
      </c>
      <c r="H10" s="64" t="s">
        <v>62</v>
      </c>
      <c r="I10" s="64" t="s">
        <v>63</v>
      </c>
      <c r="J10" s="64" t="s">
        <v>59</v>
      </c>
      <c r="K10" s="64" t="s">
        <v>60</v>
      </c>
    </row>
    <row r="11" spans="1:12" ht="21" customHeight="1">
      <c r="A11" s="68">
        <v>120</v>
      </c>
      <c r="B11" s="68">
        <v>35</v>
      </c>
      <c r="C11" s="71"/>
      <c r="D11" s="66" t="str">
        <f>IF(C11="","",IF(C11=A11+B11,"✓","TRY"))</f>
        <v/>
      </c>
      <c r="E11" s="72" t="s">
        <v>64</v>
      </c>
      <c r="G11" s="67">
        <v>250</v>
      </c>
      <c r="H11" s="67">
        <v>78</v>
      </c>
      <c r="I11" s="65"/>
      <c r="J11" s="66" t="str">
        <f>IF(I11="","",IF(I11=G11-H11,"✓","TRY"))</f>
        <v/>
      </c>
      <c r="K11" s="72" t="s">
        <v>65</v>
      </c>
    </row>
    <row r="12" spans="1:12" ht="21" customHeight="1">
      <c r="A12" s="68">
        <v>85</v>
      </c>
      <c r="B12" s="68">
        <v>60</v>
      </c>
      <c r="C12" s="71"/>
      <c r="D12" s="66" t="str">
        <f>IF(C12="","",IF(C12=A12+B12,"✓","TRY"))</f>
        <v/>
      </c>
      <c r="E12" s="72"/>
      <c r="G12" s="67">
        <v>180</v>
      </c>
      <c r="H12" s="67">
        <v>45</v>
      </c>
      <c r="I12" s="65"/>
      <c r="J12" s="66" t="str">
        <f>IF(I12="","",IF(I12=G12-H12,"✓","TRY"))</f>
        <v/>
      </c>
      <c r="K12" s="72"/>
    </row>
    <row r="13" spans="1:12" ht="21" customHeight="1">
      <c r="A13" s="68">
        <v>240</v>
      </c>
      <c r="B13" s="68">
        <v>125</v>
      </c>
      <c r="C13" s="71"/>
      <c r="D13" s="66" t="str">
        <f>IF(C13="","",IF(C13=A13+B13,"✓","TRY"))</f>
        <v/>
      </c>
      <c r="E13" s="72"/>
      <c r="G13" s="67">
        <v>400</v>
      </c>
      <c r="H13" s="67">
        <v>126</v>
      </c>
      <c r="I13" s="65"/>
      <c r="J13" s="66" t="str">
        <f>IF(I13="","",IF(I13=G13-H13,"✓","TRY"))</f>
        <v/>
      </c>
      <c r="K13" s="72"/>
    </row>
    <row r="14" spans="1:12" ht="21" customHeight="1">
      <c r="A14" s="68">
        <v>410</v>
      </c>
      <c r="B14" s="68">
        <v>90</v>
      </c>
      <c r="C14" s="71"/>
      <c r="D14" s="66" t="str">
        <f>IF(C14="","",IF(C14=A14+B14,"✓","TRY"))</f>
        <v/>
      </c>
      <c r="E14" s="72"/>
      <c r="G14" s="67">
        <v>120</v>
      </c>
      <c r="H14" s="67">
        <v>89</v>
      </c>
      <c r="I14" s="65"/>
      <c r="J14" s="66" t="str">
        <f>IF(I14="","",IF(I14=G14-H14,"✓","TRY"))</f>
        <v/>
      </c>
      <c r="K14" s="72"/>
    </row>
    <row r="15" spans="1:12" ht="21" customHeight="1">
      <c r="A15" s="68">
        <v>75</v>
      </c>
      <c r="B15" s="68">
        <v>225</v>
      </c>
      <c r="C15" s="71"/>
      <c r="D15" s="66" t="str">
        <f>IF(C15="","",IF(C15=A15+B15,"✓","TRY"))</f>
        <v/>
      </c>
      <c r="E15" s="72"/>
      <c r="G15" s="67">
        <v>500</v>
      </c>
      <c r="H15" s="67">
        <v>275</v>
      </c>
      <c r="I15" s="65"/>
      <c r="J15" s="66" t="str">
        <f>IF(I15="","",IF(I15=G15-H15,"✓","TRY"))</f>
        <v/>
      </c>
      <c r="K15" s="72"/>
    </row>
    <row r="16" spans="1:12" ht="21" customHeight="1"/>
    <row r="17" spans="1:12" ht="21" customHeight="1">
      <c r="A17" s="35" t="s">
        <v>66</v>
      </c>
      <c r="B17" s="35"/>
      <c r="C17" s="35"/>
      <c r="D17" s="35"/>
      <c r="E17" s="35"/>
      <c r="G17" s="39" t="s">
        <v>67</v>
      </c>
      <c r="H17" s="39"/>
      <c r="I17" s="39"/>
      <c r="J17" s="39"/>
      <c r="K17" s="39"/>
    </row>
    <row r="18" spans="1:12" ht="21" customHeight="1">
      <c r="A18" s="64" t="s">
        <v>68</v>
      </c>
      <c r="B18" s="64" t="s">
        <v>69</v>
      </c>
      <c r="C18" s="64" t="s">
        <v>58</v>
      </c>
      <c r="D18" s="64" t="s">
        <v>59</v>
      </c>
      <c r="E18" s="64" t="s">
        <v>60</v>
      </c>
      <c r="G18" s="64" t="s">
        <v>70</v>
      </c>
      <c r="H18" s="64" t="s">
        <v>71</v>
      </c>
      <c r="I18" s="64" t="s">
        <v>72</v>
      </c>
      <c r="J18" s="64" t="s">
        <v>59</v>
      </c>
      <c r="K18" s="64" t="s">
        <v>60</v>
      </c>
    </row>
    <row r="19" spans="1:12" ht="21" customHeight="1">
      <c r="A19" s="67">
        <v>6.5</v>
      </c>
      <c r="B19" s="68">
        <v>4</v>
      </c>
      <c r="C19" s="65"/>
      <c r="D19" s="66" t="str">
        <f>IF(C19="","",IF(ABS(C19-(A19*B19))&lt;0.001,"✓","TRY"))</f>
        <v/>
      </c>
      <c r="E19" s="69" t="s">
        <v>73</v>
      </c>
      <c r="G19" s="67">
        <v>84</v>
      </c>
      <c r="H19" s="68">
        <v>4</v>
      </c>
      <c r="I19" s="65"/>
      <c r="J19" s="66" t="str">
        <f>IF(I19="","",IF(ABS(I19-(G19/H19))&lt;0.001,"✓","TRY"))</f>
        <v/>
      </c>
      <c r="K19" s="69" t="s">
        <v>74</v>
      </c>
    </row>
    <row r="20" spans="1:12" ht="21" customHeight="1">
      <c r="A20" s="67">
        <v>8</v>
      </c>
      <c r="B20" s="68">
        <v>6</v>
      </c>
      <c r="C20" s="65"/>
      <c r="D20" s="66" t="str">
        <f>IF(C20="","",IF(ABS(C20-(A20*B20))&lt;0.001,"✓","TRY"))</f>
        <v/>
      </c>
      <c r="E20" s="69"/>
      <c r="G20" s="67">
        <v>126</v>
      </c>
      <c r="H20" s="68">
        <v>6</v>
      </c>
      <c r="I20" s="65"/>
      <c r="J20" s="66" t="str">
        <f>IF(I20="","",IF(ABS(I20-(G20/H20))&lt;0.001,"✓","TRY"))</f>
        <v/>
      </c>
      <c r="K20" s="69"/>
    </row>
    <row r="21" spans="1:12" ht="21" customHeight="1">
      <c r="A21" s="67">
        <v>12.5</v>
      </c>
      <c r="B21" s="68">
        <v>3</v>
      </c>
      <c r="C21" s="65"/>
      <c r="D21" s="66" t="str">
        <f>IF(C21="","",IF(ABS(C21-(A21*B21))&lt;0.001,"✓","TRY"))</f>
        <v/>
      </c>
      <c r="E21" s="69"/>
      <c r="G21" s="67">
        <v>95</v>
      </c>
      <c r="H21" s="68">
        <v>5</v>
      </c>
      <c r="I21" s="65"/>
      <c r="J21" s="66" t="str">
        <f>IF(I21="","",IF(ABS(I21-(G21/H21))&lt;0.001,"✓","TRY"))</f>
        <v/>
      </c>
      <c r="K21" s="69"/>
    </row>
    <row r="22" spans="1:12" ht="21" customHeight="1">
      <c r="A22" s="67">
        <v>4.75</v>
      </c>
      <c r="B22" s="68">
        <v>8</v>
      </c>
      <c r="C22" s="65"/>
      <c r="D22" s="66" t="str">
        <f>IF(C22="","",IF(ABS(C22-(A22*B22))&lt;0.001,"✓","TRY"))</f>
        <v/>
      </c>
      <c r="E22" s="69"/>
      <c r="G22" s="67">
        <v>144</v>
      </c>
      <c r="H22" s="68">
        <v>8</v>
      </c>
      <c r="I22" s="65"/>
      <c r="J22" s="66" t="str">
        <f>IF(I22="","",IF(ABS(I22-(G22/H22))&lt;0.001,"✓","TRY"))</f>
        <v/>
      </c>
      <c r="K22" s="69"/>
    </row>
    <row r="23" spans="1:12" ht="21" customHeight="1">
      <c r="A23" s="67">
        <v>15</v>
      </c>
      <c r="B23" s="68">
        <v>5</v>
      </c>
      <c r="C23" s="65"/>
      <c r="D23" s="66" t="str">
        <f>IF(C23="","",IF(ABS(C23-(A23*B23))&lt;0.001,"✓","TRY"))</f>
        <v/>
      </c>
      <c r="E23" s="69"/>
      <c r="G23" s="67">
        <v>78</v>
      </c>
      <c r="H23" s="68">
        <v>3</v>
      </c>
      <c r="I23" s="65"/>
      <c r="J23" s="66" t="str">
        <f>IF(I23="","",IF(ABS(I23-(G23/H23))&lt;0.001,"✓","TRY"))</f>
        <v/>
      </c>
      <c r="K23" s="69"/>
    </row>
    <row r="24" spans="1:12" ht="21" customHeight="1"/>
    <row r="25" spans="1:12" ht="21" customHeight="1">
      <c r="A25" s="45" t="s">
        <v>75</v>
      </c>
      <c r="B25" s="45"/>
      <c r="C25" s="45"/>
      <c r="D25" s="45"/>
      <c r="E25" s="45"/>
      <c r="F25" s="45"/>
      <c r="G25" s="45"/>
      <c r="H25" s="45"/>
      <c r="I25" s="45"/>
      <c r="J25" s="45"/>
      <c r="K25" s="45"/>
      <c r="L25" s="45"/>
    </row>
    <row r="26" spans="1:12" ht="21" customHeight="1">
      <c r="A26" s="46" t="s">
        <v>76</v>
      </c>
      <c r="B26" s="46"/>
      <c r="C26" s="46"/>
      <c r="D26" s="46"/>
      <c r="E26" s="46"/>
      <c r="F26" s="46"/>
      <c r="G26" s="46"/>
      <c r="H26" s="46"/>
      <c r="I26" s="46"/>
      <c r="J26" s="46"/>
      <c r="K26" s="46"/>
      <c r="L26" s="46"/>
    </row>
    <row r="27" spans="1:12" ht="21" customHeight="1">
      <c r="A27" s="46"/>
      <c r="B27" s="46"/>
      <c r="C27" s="46"/>
      <c r="D27" s="46"/>
      <c r="E27" s="46"/>
      <c r="F27" s="46"/>
      <c r="G27" s="46"/>
      <c r="H27" s="46"/>
      <c r="I27" s="46"/>
      <c r="J27" s="46"/>
      <c r="K27" s="46"/>
      <c r="L27" s="46"/>
    </row>
    <row r="28" spans="1:12" ht="21" customHeight="1">
      <c r="A28" s="64" t="s">
        <v>77</v>
      </c>
      <c r="B28" s="64" t="s">
        <v>78</v>
      </c>
      <c r="C28" s="64" t="s">
        <v>79</v>
      </c>
      <c r="D28" s="64" t="s">
        <v>80</v>
      </c>
      <c r="E28" s="64" t="s">
        <v>81</v>
      </c>
      <c r="F28" s="64" t="s">
        <v>59</v>
      </c>
      <c r="H28" s="25" t="s">
        <v>82</v>
      </c>
      <c r="I28" s="26"/>
      <c r="J28" s="26"/>
      <c r="K28" s="26"/>
      <c r="L28" s="27"/>
    </row>
    <row r="29" spans="1:12" ht="21" customHeight="1">
      <c r="A29" s="68" t="s">
        <v>83</v>
      </c>
      <c r="B29" s="67">
        <v>60</v>
      </c>
      <c r="C29" s="70">
        <v>0.1</v>
      </c>
      <c r="D29" s="65"/>
      <c r="E29" s="65"/>
      <c r="F29" s="66" t="str">
        <f t="shared" ref="F29:F34" si="0">IF(OR(D29="",E29=""),"",IF(AND(ABS(D29-(B29*C29))&lt;0.001,ABS(E29-(B29-D29))&lt;0.001),"✓","TRY"))</f>
        <v/>
      </c>
      <c r="H29" s="28"/>
      <c r="I29" s="29"/>
      <c r="J29" s="29"/>
      <c r="K29" s="29"/>
      <c r="L29" s="30"/>
    </row>
    <row r="30" spans="1:12" ht="21" customHeight="1">
      <c r="A30" s="68" t="s">
        <v>84</v>
      </c>
      <c r="B30" s="67">
        <v>45</v>
      </c>
      <c r="C30" s="70">
        <v>0.15</v>
      </c>
      <c r="D30" s="65"/>
      <c r="E30" s="65"/>
      <c r="F30" s="66" t="str">
        <f t="shared" si="0"/>
        <v/>
      </c>
      <c r="H30" s="28"/>
      <c r="I30" s="29"/>
      <c r="J30" s="29"/>
      <c r="K30" s="29"/>
      <c r="L30" s="30"/>
    </row>
    <row r="31" spans="1:12" ht="21" customHeight="1">
      <c r="A31" s="68" t="s">
        <v>85</v>
      </c>
      <c r="B31" s="67">
        <v>32</v>
      </c>
      <c r="C31" s="70">
        <v>0.2</v>
      </c>
      <c r="D31" s="65"/>
      <c r="E31" s="65"/>
      <c r="F31" s="66" t="str">
        <f t="shared" si="0"/>
        <v/>
      </c>
      <c r="H31" s="28"/>
      <c r="I31" s="29"/>
      <c r="J31" s="29"/>
      <c r="K31" s="29"/>
      <c r="L31" s="30"/>
    </row>
    <row r="32" spans="1:12" ht="21" customHeight="1">
      <c r="A32" s="68" t="s">
        <v>86</v>
      </c>
      <c r="B32" s="67">
        <v>55</v>
      </c>
      <c r="C32" s="70">
        <v>0.25</v>
      </c>
      <c r="D32" s="65"/>
      <c r="E32" s="65"/>
      <c r="F32" s="66" t="str">
        <f t="shared" si="0"/>
        <v/>
      </c>
      <c r="H32" s="28"/>
      <c r="I32" s="29"/>
      <c r="J32" s="29"/>
      <c r="K32" s="29"/>
      <c r="L32" s="30"/>
    </row>
    <row r="33" spans="1:12" ht="21" customHeight="1">
      <c r="A33" s="68" t="s">
        <v>87</v>
      </c>
      <c r="B33" s="67">
        <v>18</v>
      </c>
      <c r="C33" s="70">
        <v>0.05</v>
      </c>
      <c r="D33" s="65"/>
      <c r="E33" s="65"/>
      <c r="F33" s="66" t="str">
        <f t="shared" si="0"/>
        <v/>
      </c>
      <c r="H33" s="28"/>
      <c r="I33" s="29"/>
      <c r="J33" s="29"/>
      <c r="K33" s="29"/>
      <c r="L33" s="30"/>
    </row>
    <row r="34" spans="1:12" ht="21" customHeight="1">
      <c r="A34" s="68" t="s">
        <v>88</v>
      </c>
      <c r="B34" s="67">
        <v>70</v>
      </c>
      <c r="C34" s="70">
        <v>0.12</v>
      </c>
      <c r="D34" s="65"/>
      <c r="E34" s="65"/>
      <c r="F34" s="66" t="str">
        <f t="shared" si="0"/>
        <v/>
      </c>
      <c r="H34" s="31"/>
      <c r="I34" s="32"/>
      <c r="J34" s="32"/>
      <c r="K34" s="32"/>
      <c r="L34" s="33"/>
    </row>
    <row r="35" spans="1:12" ht="21" customHeight="1"/>
    <row r="36" spans="1:12" ht="21" customHeight="1">
      <c r="A36" s="47" t="s">
        <v>89</v>
      </c>
      <c r="B36" s="47"/>
      <c r="C36" s="47"/>
      <c r="D36" s="47"/>
      <c r="E36" s="47"/>
      <c r="F36" s="47"/>
      <c r="G36" s="47"/>
      <c r="H36" s="47"/>
      <c r="I36" s="47"/>
      <c r="J36" s="47"/>
      <c r="K36" s="47"/>
      <c r="L36" s="47"/>
    </row>
    <row r="37" spans="1:12" ht="21" customHeight="1">
      <c r="A37" s="48" t="s">
        <v>90</v>
      </c>
      <c r="B37" s="48"/>
      <c r="C37" s="48"/>
      <c r="D37" s="48"/>
      <c r="E37" s="48"/>
      <c r="F37" s="48"/>
      <c r="G37" s="43" t="s">
        <v>91</v>
      </c>
      <c r="H37" s="43"/>
      <c r="I37" s="43"/>
      <c r="J37" s="43"/>
      <c r="K37" s="43"/>
      <c r="L37" s="43"/>
    </row>
    <row r="38" spans="1:12" ht="21" customHeight="1">
      <c r="A38" s="48"/>
      <c r="B38" s="48"/>
      <c r="C38" s="48"/>
      <c r="D38" s="48"/>
      <c r="E38" s="48"/>
      <c r="F38" s="48"/>
      <c r="G38" s="43"/>
      <c r="H38" s="43"/>
      <c r="I38" s="43"/>
      <c r="J38" s="43"/>
      <c r="K38" s="43"/>
      <c r="L38" s="43"/>
    </row>
    <row r="39" spans="1:12" ht="21" customHeight="1">
      <c r="A39" s="48"/>
      <c r="B39" s="48"/>
      <c r="C39" s="48"/>
      <c r="D39" s="48"/>
      <c r="E39" s="48"/>
      <c r="F39" s="48"/>
      <c r="G39" s="43"/>
      <c r="H39" s="43"/>
      <c r="I39" s="43"/>
      <c r="J39" s="43"/>
      <c r="K39" s="43"/>
      <c r="L39" s="43"/>
    </row>
    <row r="40" spans="1:12" ht="21" customHeight="1"/>
  </sheetData>
  <mergeCells count="15">
    <mergeCell ref="A26:L27"/>
    <mergeCell ref="H28:L34"/>
    <mergeCell ref="A36:L36"/>
    <mergeCell ref="A37:F39"/>
    <mergeCell ref="G37:L39"/>
    <mergeCell ref="A9:E9"/>
    <mergeCell ref="G9:K9"/>
    <mergeCell ref="A17:E17"/>
    <mergeCell ref="G17:K17"/>
    <mergeCell ref="A25:L25"/>
    <mergeCell ref="A1:L2"/>
    <mergeCell ref="A3:L3"/>
    <mergeCell ref="A4:C4"/>
    <mergeCell ref="D4:L4"/>
    <mergeCell ref="A6:L7"/>
  </mergeCells>
  <conditionalFormatting sqref="D11:D15">
    <cfRule type="expression" dxfId="15" priority="1">
      <formula>D11="✓"</formula>
    </cfRule>
    <cfRule type="expression" dxfId="14" priority="6">
      <formula>D11="TRY"</formula>
    </cfRule>
  </conditionalFormatting>
  <conditionalFormatting sqref="J11:J15">
    <cfRule type="expression" dxfId="13" priority="2">
      <formula>J11="✓"</formula>
    </cfRule>
    <cfRule type="expression" dxfId="12" priority="7">
      <formula>J11="TRY"</formula>
    </cfRule>
  </conditionalFormatting>
  <conditionalFormatting sqref="D19:D23">
    <cfRule type="expression" dxfId="11" priority="3">
      <formula>D19="✓"</formula>
    </cfRule>
    <cfRule type="expression" dxfId="10" priority="8">
      <formula>D19="TRY"</formula>
    </cfRule>
  </conditionalFormatting>
  <conditionalFormatting sqref="J19:J23">
    <cfRule type="expression" dxfId="9" priority="4">
      <formula>J19="✓"</formula>
    </cfRule>
    <cfRule type="expression" dxfId="8" priority="9">
      <formula>J19="TRY"</formula>
    </cfRule>
  </conditionalFormatting>
  <conditionalFormatting sqref="F29:F34">
    <cfRule type="expression" dxfId="7" priority="5">
      <formula>F29="✓"</formula>
    </cfRule>
    <cfRule type="expression" dxfId="6" priority="10">
      <formula>F29="TRY"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0"/>
  <sheetViews>
    <sheetView topLeftCell="A18" workbookViewId="0">
      <selection activeCell="C28" sqref="C28"/>
    </sheetView>
  </sheetViews>
  <sheetFormatPr defaultRowHeight="14.25"/>
  <cols>
    <col min="1" max="1" width="20" customWidth="1"/>
    <col min="2" max="2" width="14" customWidth="1"/>
    <col min="3" max="5" width="12" customWidth="1"/>
    <col min="6" max="6" width="10" customWidth="1"/>
    <col min="7" max="7" width="20" customWidth="1"/>
    <col min="8" max="8" width="11" customWidth="1"/>
    <col min="9" max="9" width="18" customWidth="1"/>
    <col min="10" max="10" width="9" customWidth="1"/>
    <col min="11" max="11" width="28" customWidth="1"/>
  </cols>
  <sheetData>
    <row r="1" spans="1:11" ht="21.95" customHeight="1">
      <c r="A1" s="11" t="s">
        <v>92</v>
      </c>
      <c r="B1" s="12"/>
      <c r="C1" s="12"/>
      <c r="D1" s="12"/>
      <c r="E1" s="12"/>
      <c r="F1" s="12"/>
      <c r="G1" s="12"/>
      <c r="H1" s="12"/>
      <c r="I1" s="12"/>
      <c r="J1" s="12"/>
      <c r="K1" s="12"/>
    </row>
    <row r="2" spans="1:11" ht="21.95" customHeight="1">
      <c r="A2" s="12"/>
      <c r="B2" s="12"/>
      <c r="C2" s="12"/>
      <c r="D2" s="12"/>
      <c r="E2" s="12"/>
      <c r="F2" s="12"/>
      <c r="G2" s="12"/>
      <c r="H2" s="12"/>
      <c r="I2" s="12"/>
      <c r="J2" s="12"/>
      <c r="K2" s="12"/>
    </row>
    <row r="3" spans="1:11" ht="21.95" customHeight="1">
      <c r="A3" s="13" t="s">
        <v>93</v>
      </c>
      <c r="B3" s="12"/>
      <c r="C3" s="12"/>
      <c r="D3" s="12"/>
      <c r="E3" s="12"/>
      <c r="F3" s="12"/>
      <c r="G3" s="12"/>
      <c r="H3" s="12"/>
      <c r="I3" s="12"/>
      <c r="J3" s="12"/>
      <c r="K3" s="12"/>
    </row>
    <row r="4" spans="1:11" ht="21.95" customHeight="1">
      <c r="A4" s="49" t="s">
        <v>52</v>
      </c>
      <c r="B4" s="49"/>
      <c r="C4" s="49"/>
      <c r="D4" s="15" t="s">
        <v>3</v>
      </c>
      <c r="E4" s="15"/>
      <c r="F4" s="15"/>
      <c r="G4" s="15"/>
      <c r="H4" s="15"/>
      <c r="I4" s="15"/>
      <c r="J4" s="15"/>
      <c r="K4" s="15"/>
    </row>
    <row r="5" spans="1:11" ht="21.95" customHeight="1"/>
    <row r="6" spans="1:11" ht="21.95" customHeight="1">
      <c r="A6" s="50" t="s">
        <v>94</v>
      </c>
      <c r="B6" s="50"/>
      <c r="C6" s="50"/>
      <c r="D6" s="50"/>
      <c r="E6" s="50"/>
      <c r="F6" s="50"/>
      <c r="G6" s="50"/>
      <c r="H6" s="50"/>
      <c r="I6" s="50"/>
      <c r="J6" s="50"/>
      <c r="K6" s="50"/>
    </row>
    <row r="7" spans="1:11" ht="21.95" customHeight="1">
      <c r="A7" s="50"/>
      <c r="B7" s="50"/>
      <c r="C7" s="50"/>
      <c r="D7" s="50"/>
      <c r="E7" s="50"/>
      <c r="F7" s="50"/>
      <c r="G7" s="50"/>
      <c r="H7" s="50"/>
      <c r="I7" s="50"/>
      <c r="J7" s="50"/>
      <c r="K7" s="50"/>
    </row>
    <row r="8" spans="1:11" ht="21.95" customHeight="1"/>
    <row r="9" spans="1:11" ht="21.95" customHeight="1">
      <c r="A9" s="44" t="s">
        <v>95</v>
      </c>
      <c r="B9" s="44"/>
      <c r="C9" s="44"/>
      <c r="D9" s="44"/>
      <c r="E9" s="44"/>
      <c r="F9" s="44"/>
      <c r="G9" s="34" t="s">
        <v>96</v>
      </c>
      <c r="H9" s="34"/>
      <c r="I9" s="34"/>
      <c r="J9" s="34"/>
      <c r="K9" s="34"/>
    </row>
    <row r="10" spans="1:11" ht="21.95" customHeight="1">
      <c r="A10" s="64" t="s">
        <v>97</v>
      </c>
      <c r="B10" s="64" t="s">
        <v>98</v>
      </c>
      <c r="C10" s="64" t="s">
        <v>99</v>
      </c>
      <c r="D10" s="64" t="s">
        <v>100</v>
      </c>
      <c r="E10" s="73" t="s">
        <v>101</v>
      </c>
      <c r="G10" s="64" t="s">
        <v>102</v>
      </c>
      <c r="H10" s="64" t="s">
        <v>103</v>
      </c>
      <c r="I10" s="64" t="s">
        <v>104</v>
      </c>
      <c r="J10" s="64" t="s">
        <v>59</v>
      </c>
      <c r="K10" s="64" t="s">
        <v>105</v>
      </c>
    </row>
    <row r="11" spans="1:11" ht="32.1" customHeight="1">
      <c r="A11" s="74" t="s">
        <v>106</v>
      </c>
      <c r="B11" s="74">
        <v>18</v>
      </c>
      <c r="C11" s="75">
        <v>4.5999999999999996</v>
      </c>
      <c r="D11" s="74" t="s">
        <v>107</v>
      </c>
      <c r="E11" s="74" t="s">
        <v>108</v>
      </c>
      <c r="G11" s="78" t="s">
        <v>109</v>
      </c>
      <c r="H11" s="78" t="s">
        <v>110</v>
      </c>
      <c r="I11" s="79"/>
      <c r="J11" s="80" t="str">
        <f>IF(I11="","",IF(I11=SUM(B11:B22),"✓","TRY"))</f>
        <v/>
      </c>
      <c r="K11" s="78" t="s">
        <v>111</v>
      </c>
    </row>
    <row r="12" spans="1:11" ht="32.1" customHeight="1">
      <c r="A12" s="76" t="s">
        <v>112</v>
      </c>
      <c r="B12" s="76">
        <v>22</v>
      </c>
      <c r="C12" s="77">
        <v>4.0999999999999996</v>
      </c>
      <c r="D12" s="76" t="s">
        <v>107</v>
      </c>
      <c r="E12" s="76" t="s">
        <v>113</v>
      </c>
      <c r="G12" s="78" t="s">
        <v>114</v>
      </c>
      <c r="H12" s="78" t="s">
        <v>115</v>
      </c>
      <c r="I12" s="79"/>
      <c r="J12" s="80" t="str">
        <f>IF(I12="","",IF(ABS(I12-AVERAGE(C11:C22))&lt;0.001,"✓","TRY"))</f>
        <v/>
      </c>
      <c r="K12" s="78" t="s">
        <v>116</v>
      </c>
    </row>
    <row r="13" spans="1:11" ht="32.1" customHeight="1">
      <c r="A13" s="74" t="s">
        <v>117</v>
      </c>
      <c r="B13" s="74">
        <v>15</v>
      </c>
      <c r="C13" s="75">
        <v>4.8</v>
      </c>
      <c r="D13" s="74" t="s">
        <v>107</v>
      </c>
      <c r="E13" s="74" t="s">
        <v>118</v>
      </c>
      <c r="G13" s="78" t="s">
        <v>119</v>
      </c>
      <c r="H13" s="78" t="s">
        <v>120</v>
      </c>
      <c r="I13" s="79"/>
      <c r="J13" s="80" t="str">
        <f>IF(I13="","",IF(I13=MAX(B11:B22),"✓","TRY"))</f>
        <v/>
      </c>
      <c r="K13" s="78" t="s">
        <v>121</v>
      </c>
    </row>
    <row r="14" spans="1:11" ht="32.1" customHeight="1">
      <c r="A14" s="76" t="s">
        <v>122</v>
      </c>
      <c r="B14" s="76">
        <v>27</v>
      </c>
      <c r="C14" s="77">
        <v>3.9</v>
      </c>
      <c r="D14" s="76"/>
      <c r="E14" s="76" t="s">
        <v>123</v>
      </c>
      <c r="G14" s="78" t="s">
        <v>124</v>
      </c>
      <c r="H14" s="78" t="s">
        <v>125</v>
      </c>
      <c r="I14" s="79"/>
      <c r="J14" s="80" t="str">
        <f>IF(I14="","",IF(I14=MIN(B11:B22),"✓","TRY"))</f>
        <v/>
      </c>
      <c r="K14" s="78" t="s">
        <v>126</v>
      </c>
    </row>
    <row r="15" spans="1:11" ht="32.1" customHeight="1">
      <c r="A15" s="74" t="s">
        <v>127</v>
      </c>
      <c r="B15" s="74">
        <v>31</v>
      </c>
      <c r="C15" s="75">
        <v>4.7</v>
      </c>
      <c r="D15" s="74" t="s">
        <v>107</v>
      </c>
      <c r="E15" s="74" t="s">
        <v>128</v>
      </c>
      <c r="G15" s="78" t="s">
        <v>129</v>
      </c>
      <c r="H15" s="78" t="s">
        <v>130</v>
      </c>
      <c r="I15" s="79"/>
      <c r="J15" s="80" t="str">
        <f>IF(I15="","",IF(I15=COUNTA(D11:D22),"✓","TRY"))</f>
        <v/>
      </c>
      <c r="K15" s="78" t="s">
        <v>131</v>
      </c>
    </row>
    <row r="16" spans="1:11" ht="32.1" customHeight="1">
      <c r="A16" s="76" t="s">
        <v>132</v>
      </c>
      <c r="B16" s="76">
        <v>24</v>
      </c>
      <c r="C16" s="77">
        <v>4.3</v>
      </c>
      <c r="D16" s="76" t="s">
        <v>107</v>
      </c>
      <c r="E16" s="76" t="s">
        <v>108</v>
      </c>
      <c r="G16" s="78" t="s">
        <v>133</v>
      </c>
      <c r="H16" s="78" t="s">
        <v>130</v>
      </c>
      <c r="I16" s="79"/>
      <c r="J16" s="80" t="str">
        <f>IF(I16="","",IF(I16=COUNTA(A11:A22),"✓","TRY"))</f>
        <v/>
      </c>
      <c r="K16" s="78" t="s">
        <v>134</v>
      </c>
    </row>
    <row r="17" spans="1:11" ht="21.95" customHeight="1">
      <c r="A17" s="74" t="s">
        <v>135</v>
      </c>
      <c r="B17" s="74">
        <v>12</v>
      </c>
      <c r="C17" s="75">
        <v>3.8</v>
      </c>
      <c r="D17" s="74"/>
      <c r="E17" s="74" t="s">
        <v>113</v>
      </c>
    </row>
    <row r="18" spans="1:11" ht="21.95" customHeight="1">
      <c r="A18" s="76" t="s">
        <v>136</v>
      </c>
      <c r="B18" s="76">
        <v>29</v>
      </c>
      <c r="C18" s="77">
        <v>4.9000000000000004</v>
      </c>
      <c r="D18" s="76" t="s">
        <v>107</v>
      </c>
      <c r="E18" s="76" t="s">
        <v>118</v>
      </c>
    </row>
    <row r="19" spans="1:11" ht="21.95" customHeight="1">
      <c r="A19" s="74" t="s">
        <v>137</v>
      </c>
      <c r="B19" s="74">
        <v>20</v>
      </c>
      <c r="C19" s="75">
        <v>4.2</v>
      </c>
      <c r="D19" s="74" t="s">
        <v>107</v>
      </c>
      <c r="E19" s="74" t="s">
        <v>123</v>
      </c>
    </row>
    <row r="20" spans="1:11" ht="21.95" customHeight="1">
      <c r="A20" s="76" t="s">
        <v>138</v>
      </c>
      <c r="B20" s="76">
        <v>26</v>
      </c>
      <c r="C20" s="77">
        <v>4.5</v>
      </c>
      <c r="D20" s="76" t="s">
        <v>107</v>
      </c>
      <c r="E20" s="76" t="s">
        <v>128</v>
      </c>
    </row>
    <row r="21" spans="1:11" ht="21.95" customHeight="1">
      <c r="A21" s="74" t="s">
        <v>139</v>
      </c>
      <c r="B21" s="74">
        <v>17</v>
      </c>
      <c r="C21" s="75">
        <v>4</v>
      </c>
      <c r="D21" s="74"/>
      <c r="E21" s="74" t="s">
        <v>108</v>
      </c>
    </row>
    <row r="22" spans="1:11" ht="21.95" customHeight="1">
      <c r="A22" s="76" t="s">
        <v>140</v>
      </c>
      <c r="B22" s="76">
        <v>33</v>
      </c>
      <c r="C22" s="77">
        <v>4.8</v>
      </c>
      <c r="D22" s="76" t="s">
        <v>107</v>
      </c>
      <c r="E22" s="76" t="s">
        <v>113</v>
      </c>
    </row>
    <row r="23" spans="1:11" ht="21.95" customHeight="1"/>
    <row r="24" spans="1:11" ht="21.95" customHeight="1">
      <c r="A24" s="39" t="s">
        <v>141</v>
      </c>
      <c r="B24" s="39"/>
      <c r="C24" s="39"/>
      <c r="D24" s="39"/>
      <c r="E24" s="39"/>
      <c r="F24" s="39"/>
      <c r="G24" s="39"/>
      <c r="H24" s="39"/>
      <c r="I24" s="39"/>
      <c r="J24" s="39"/>
      <c r="K24" s="39"/>
    </row>
    <row r="25" spans="1:11" ht="26.1" customHeight="1">
      <c r="A25" s="64" t="s">
        <v>142</v>
      </c>
      <c r="B25" s="64" t="s">
        <v>110</v>
      </c>
      <c r="C25" s="64" t="s">
        <v>115</v>
      </c>
      <c r="D25" s="64" t="s">
        <v>120</v>
      </c>
      <c r="E25" s="64" t="s">
        <v>125</v>
      </c>
      <c r="F25" s="64" t="s">
        <v>130</v>
      </c>
      <c r="G25" s="64" t="s">
        <v>143</v>
      </c>
      <c r="H25" s="64"/>
      <c r="I25" s="64"/>
      <c r="J25" s="64"/>
      <c r="K25" s="64"/>
    </row>
    <row r="26" spans="1:11" ht="26.1" customHeight="1">
      <c r="A26" s="81" t="s">
        <v>144</v>
      </c>
      <c r="B26" s="81" t="s">
        <v>145</v>
      </c>
      <c r="C26" s="81"/>
      <c r="D26" s="81"/>
      <c r="E26" s="81"/>
      <c r="F26" s="81"/>
      <c r="G26" s="82" t="s">
        <v>146</v>
      </c>
      <c r="H26" s="82"/>
      <c r="I26" s="82"/>
      <c r="J26" s="82"/>
      <c r="K26" s="82"/>
    </row>
    <row r="27" spans="1:11" ht="26.1" customHeight="1">
      <c r="A27" s="81" t="s">
        <v>147</v>
      </c>
      <c r="B27" s="81"/>
      <c r="C27" s="81" t="s">
        <v>145</v>
      </c>
      <c r="D27" s="81"/>
      <c r="E27" s="81"/>
      <c r="F27" s="81"/>
      <c r="G27" s="82" t="s">
        <v>148</v>
      </c>
      <c r="H27" s="82"/>
      <c r="I27" s="82"/>
      <c r="J27" s="82"/>
      <c r="K27" s="82"/>
    </row>
    <row r="28" spans="1:11" ht="26.1" customHeight="1">
      <c r="A28" s="81" t="s">
        <v>149</v>
      </c>
      <c r="B28" s="81"/>
      <c r="C28" s="81"/>
      <c r="D28" s="81" t="s">
        <v>145</v>
      </c>
      <c r="E28" s="81"/>
      <c r="F28" s="81"/>
      <c r="G28" s="82" t="s">
        <v>150</v>
      </c>
      <c r="H28" s="82"/>
      <c r="I28" s="82"/>
      <c r="J28" s="82"/>
      <c r="K28" s="82"/>
    </row>
    <row r="29" spans="1:11" ht="26.1" customHeight="1">
      <c r="A29" s="81" t="s">
        <v>151</v>
      </c>
      <c r="B29" s="81"/>
      <c r="C29" s="81"/>
      <c r="D29" s="81"/>
      <c r="E29" s="81" t="s">
        <v>145</v>
      </c>
      <c r="F29" s="81"/>
      <c r="G29" s="82" t="s">
        <v>152</v>
      </c>
      <c r="H29" s="82"/>
      <c r="I29" s="82"/>
      <c r="J29" s="82"/>
      <c r="K29" s="82"/>
    </row>
    <row r="30" spans="1:11" ht="26.1" customHeight="1">
      <c r="A30" s="81" t="s">
        <v>153</v>
      </c>
      <c r="B30" s="81"/>
      <c r="C30" s="81"/>
      <c r="D30" s="81"/>
      <c r="E30" s="81"/>
      <c r="F30" s="81" t="s">
        <v>145</v>
      </c>
      <c r="G30" s="82" t="s">
        <v>154</v>
      </c>
      <c r="H30" s="82"/>
      <c r="I30" s="82"/>
      <c r="J30" s="82"/>
      <c r="K30" s="82"/>
    </row>
    <row r="31" spans="1:11" ht="21.95" customHeight="1"/>
    <row r="32" spans="1:11" ht="21.95" customHeight="1">
      <c r="A32" s="45" t="s">
        <v>155</v>
      </c>
      <c r="B32" s="45"/>
      <c r="C32" s="45"/>
      <c r="D32" s="45"/>
      <c r="E32" s="45"/>
      <c r="F32" s="45"/>
      <c r="G32" s="45"/>
      <c r="H32" s="45"/>
      <c r="I32" s="45"/>
      <c r="J32" s="45"/>
      <c r="K32" s="45"/>
    </row>
    <row r="33" spans="1:11" ht="21.95" customHeight="1">
      <c r="A33" s="51" t="s">
        <v>156</v>
      </c>
      <c r="B33" s="51"/>
      <c r="C33" s="51"/>
      <c r="D33" s="51"/>
      <c r="E33" s="51"/>
      <c r="F33" s="51"/>
      <c r="G33" s="29" t="s">
        <v>157</v>
      </c>
      <c r="H33" s="29"/>
      <c r="I33" s="29"/>
      <c r="J33" s="29"/>
      <c r="K33" s="29"/>
    </row>
    <row r="34" spans="1:11" ht="21.95" customHeight="1">
      <c r="A34" s="51"/>
      <c r="B34" s="51"/>
      <c r="C34" s="51"/>
      <c r="D34" s="51"/>
      <c r="E34" s="51"/>
      <c r="F34" s="51"/>
      <c r="G34" s="29"/>
      <c r="H34" s="29"/>
      <c r="I34" s="29"/>
      <c r="J34" s="29"/>
      <c r="K34" s="29"/>
    </row>
    <row r="35" spans="1:11" ht="21.95" customHeight="1">
      <c r="A35" s="51"/>
      <c r="B35" s="51"/>
      <c r="C35" s="51"/>
      <c r="D35" s="51"/>
      <c r="E35" s="51"/>
      <c r="F35" s="51"/>
      <c r="G35" s="29"/>
      <c r="H35" s="29"/>
      <c r="I35" s="29"/>
      <c r="J35" s="29"/>
      <c r="K35" s="29"/>
    </row>
    <row r="36" spans="1:11" ht="21.95" customHeight="1">
      <c r="A36" s="51"/>
      <c r="B36" s="51"/>
      <c r="C36" s="51"/>
      <c r="D36" s="51"/>
      <c r="E36" s="51"/>
      <c r="F36" s="51"/>
      <c r="G36" s="29"/>
      <c r="H36" s="29"/>
      <c r="I36" s="29"/>
      <c r="J36" s="29"/>
      <c r="K36" s="29"/>
    </row>
    <row r="37" spans="1:11" ht="21.95" customHeight="1">
      <c r="A37" s="51"/>
      <c r="B37" s="51"/>
      <c r="C37" s="51"/>
      <c r="D37" s="51"/>
      <c r="E37" s="51"/>
      <c r="F37" s="51"/>
      <c r="G37" s="29"/>
      <c r="H37" s="29"/>
      <c r="I37" s="29"/>
      <c r="J37" s="29"/>
      <c r="K37" s="29"/>
    </row>
    <row r="38" spans="1:11" ht="21.95" customHeight="1">
      <c r="A38" s="51"/>
      <c r="B38" s="51"/>
      <c r="C38" s="51"/>
      <c r="D38" s="51"/>
      <c r="E38" s="51"/>
      <c r="F38" s="51"/>
      <c r="G38" s="29"/>
      <c r="H38" s="29"/>
      <c r="I38" s="29"/>
      <c r="J38" s="29"/>
      <c r="K38" s="29"/>
    </row>
    <row r="39" spans="1:11" ht="21.95" customHeight="1"/>
    <row r="40" spans="1:11" ht="21.95" customHeight="1"/>
  </sheetData>
  <mergeCells count="16">
    <mergeCell ref="G28:K28"/>
    <mergeCell ref="G29:K29"/>
    <mergeCell ref="G30:K30"/>
    <mergeCell ref="A32:K32"/>
    <mergeCell ref="A33:F38"/>
    <mergeCell ref="G33:K38"/>
    <mergeCell ref="A9:F9"/>
    <mergeCell ref="G9:K9"/>
    <mergeCell ref="A24:K24"/>
    <mergeCell ref="G26:K26"/>
    <mergeCell ref="G27:K27"/>
    <mergeCell ref="A1:K2"/>
    <mergeCell ref="A3:K3"/>
    <mergeCell ref="A4:C4"/>
    <mergeCell ref="D4:K4"/>
    <mergeCell ref="A6:K7"/>
  </mergeCells>
  <conditionalFormatting sqref="J11:J16">
    <cfRule type="expression" dxfId="5" priority="1">
      <formula>J11="✓"</formula>
    </cfRule>
    <cfRule type="expression" dxfId="4" priority="2">
      <formula>J11="TRY"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0"/>
  <sheetViews>
    <sheetView topLeftCell="A19" workbookViewId="0">
      <selection activeCell="K18" sqref="K18"/>
    </sheetView>
  </sheetViews>
  <sheetFormatPr defaultRowHeight="14.25"/>
  <cols>
    <col min="1" max="1" width="15" customWidth="1"/>
    <col min="2" max="2" width="17" customWidth="1"/>
    <col min="3" max="4" width="16" customWidth="1"/>
    <col min="5" max="5" width="10" customWidth="1"/>
    <col min="6" max="6" width="14" customWidth="1"/>
    <col min="7" max="7" width="11" customWidth="1"/>
    <col min="8" max="8" width="3" customWidth="1"/>
    <col min="9" max="9" width="31" customWidth="1"/>
    <col min="10" max="10" width="14" customWidth="1"/>
    <col min="11" max="11" width="18" customWidth="1"/>
    <col min="12" max="12" width="19" customWidth="1"/>
    <col min="13" max="13" width="10" customWidth="1"/>
    <col min="14" max="14" width="38" customWidth="1"/>
  </cols>
  <sheetData>
    <row r="1" spans="1:14" ht="21.95" customHeight="1">
      <c r="A1" s="11" t="s">
        <v>158</v>
      </c>
      <c r="B1" s="12"/>
      <c r="C1" s="12"/>
      <c r="D1" s="12"/>
      <c r="E1" s="12"/>
      <c r="F1" s="12"/>
      <c r="G1" s="12"/>
      <c r="H1" s="12"/>
      <c r="I1" s="12"/>
      <c r="J1" s="12"/>
      <c r="K1" s="12"/>
      <c r="L1" s="12"/>
      <c r="M1" s="12"/>
      <c r="N1" s="12"/>
    </row>
    <row r="2" spans="1:14" ht="21.95" customHeight="1">
      <c r="A2" s="12"/>
      <c r="B2" s="12"/>
      <c r="C2" s="12"/>
      <c r="D2" s="12"/>
      <c r="E2" s="12"/>
      <c r="F2" s="12"/>
      <c r="G2" s="12"/>
      <c r="H2" s="12"/>
      <c r="I2" s="12"/>
      <c r="J2" s="12"/>
      <c r="K2" s="12"/>
      <c r="L2" s="12"/>
      <c r="M2" s="12"/>
      <c r="N2" s="12"/>
    </row>
    <row r="3" spans="1:14" ht="21.95" customHeight="1">
      <c r="A3" s="13" t="s">
        <v>159</v>
      </c>
      <c r="B3" s="12"/>
      <c r="C3" s="12"/>
      <c r="D3" s="12"/>
      <c r="E3" s="12"/>
      <c r="F3" s="12"/>
      <c r="G3" s="12"/>
      <c r="H3" s="12"/>
      <c r="I3" s="12"/>
      <c r="J3" s="12"/>
      <c r="K3" s="12"/>
      <c r="L3" s="12"/>
      <c r="M3" s="12"/>
      <c r="N3" s="12"/>
    </row>
    <row r="4" spans="1:14" ht="21.95" customHeight="1">
      <c r="A4" s="52" t="s">
        <v>160</v>
      </c>
      <c r="B4" s="52"/>
      <c r="C4" s="52"/>
      <c r="D4" s="15" t="s">
        <v>3</v>
      </c>
      <c r="E4" s="15"/>
      <c r="F4" s="15"/>
      <c r="G4" s="15"/>
      <c r="H4" s="15"/>
      <c r="I4" s="15"/>
      <c r="J4" s="15"/>
      <c r="K4" s="15"/>
      <c r="L4" s="15"/>
      <c r="M4" s="15"/>
      <c r="N4" s="15"/>
    </row>
    <row r="5" spans="1:14" ht="21.95" customHeight="1"/>
    <row r="6" spans="1:14" ht="21.95" customHeight="1">
      <c r="A6" s="53" t="s">
        <v>161</v>
      </c>
      <c r="B6" s="53"/>
      <c r="C6" s="53"/>
      <c r="D6" s="53"/>
      <c r="E6" s="53"/>
      <c r="F6" s="53"/>
      <c r="G6" s="53"/>
      <c r="H6" s="53"/>
      <c r="I6" s="53"/>
      <c r="J6" s="53"/>
      <c r="K6" s="53"/>
      <c r="L6" s="53"/>
      <c r="M6" s="53"/>
      <c r="N6" s="53"/>
    </row>
    <row r="7" spans="1:14" ht="21.95" customHeight="1">
      <c r="A7" s="53"/>
      <c r="B7" s="53"/>
      <c r="C7" s="53"/>
      <c r="D7" s="53"/>
      <c r="E7" s="53"/>
      <c r="F7" s="53"/>
      <c r="G7" s="53"/>
      <c r="H7" s="53"/>
      <c r="I7" s="53"/>
      <c r="J7" s="53"/>
      <c r="K7" s="53"/>
      <c r="L7" s="53"/>
      <c r="M7" s="53"/>
      <c r="N7" s="53"/>
    </row>
    <row r="8" spans="1:14" ht="21.95" customHeight="1"/>
    <row r="9" spans="1:14" ht="21.95" customHeight="1">
      <c r="A9" s="44" t="s">
        <v>162</v>
      </c>
      <c r="B9" s="44"/>
      <c r="C9" s="44"/>
      <c r="D9" s="44"/>
      <c r="E9" s="44"/>
      <c r="F9" s="44"/>
      <c r="G9" s="44"/>
      <c r="I9" s="34" t="s">
        <v>163</v>
      </c>
      <c r="J9" s="34"/>
      <c r="K9" s="34"/>
      <c r="L9" s="34"/>
      <c r="M9" s="34"/>
      <c r="N9" s="34"/>
    </row>
    <row r="10" spans="1:14" ht="21.95" customHeight="1">
      <c r="A10" s="64" t="s">
        <v>164</v>
      </c>
      <c r="B10" s="64" t="s">
        <v>165</v>
      </c>
      <c r="C10" s="64" t="s">
        <v>166</v>
      </c>
      <c r="D10" s="64" t="s">
        <v>167</v>
      </c>
      <c r="E10" s="64" t="s">
        <v>69</v>
      </c>
      <c r="F10" s="64" t="s">
        <v>168</v>
      </c>
      <c r="G10" s="73" t="s">
        <v>99</v>
      </c>
      <c r="I10" s="64" t="s">
        <v>102</v>
      </c>
      <c r="J10" s="64" t="s">
        <v>103</v>
      </c>
      <c r="K10" s="64" t="s">
        <v>169</v>
      </c>
      <c r="L10" s="64" t="s">
        <v>104</v>
      </c>
      <c r="M10" s="64" t="s">
        <v>59</v>
      </c>
      <c r="N10" s="64" t="s">
        <v>170</v>
      </c>
    </row>
    <row r="11" spans="1:14" ht="32.1" customHeight="1">
      <c r="A11" s="74" t="s">
        <v>171</v>
      </c>
      <c r="B11" s="74" t="s">
        <v>172</v>
      </c>
      <c r="C11" s="74" t="s">
        <v>173</v>
      </c>
      <c r="D11" s="74" t="s">
        <v>174</v>
      </c>
      <c r="E11" s="74">
        <v>2</v>
      </c>
      <c r="F11" s="83">
        <v>19</v>
      </c>
      <c r="G11" s="75">
        <v>3.8</v>
      </c>
      <c r="I11" s="78" t="s">
        <v>175</v>
      </c>
      <c r="J11" s="78" t="s">
        <v>176</v>
      </c>
      <c r="K11" s="78" t="s">
        <v>172</v>
      </c>
      <c r="L11" s="79"/>
      <c r="M11" s="80" t="str">
        <f>IF(L11="","",IF(L11=COUNTIF(B11:B34,"VR Arena"),"✓","TRY"))</f>
        <v/>
      </c>
      <c r="N11" s="85" t="s">
        <v>177</v>
      </c>
    </row>
    <row r="12" spans="1:14" ht="32.1" customHeight="1">
      <c r="A12" s="76" t="s">
        <v>178</v>
      </c>
      <c r="B12" s="76" t="s">
        <v>172</v>
      </c>
      <c r="C12" s="76" t="s">
        <v>179</v>
      </c>
      <c r="D12" s="76" t="s">
        <v>180</v>
      </c>
      <c r="E12" s="76">
        <v>4</v>
      </c>
      <c r="F12" s="84">
        <v>88</v>
      </c>
      <c r="G12" s="77">
        <v>3.5</v>
      </c>
      <c r="I12" s="78" t="s">
        <v>181</v>
      </c>
      <c r="J12" s="78" t="s">
        <v>176</v>
      </c>
      <c r="K12" s="78" t="s">
        <v>182</v>
      </c>
      <c r="L12" s="79"/>
      <c r="M12" s="80" t="str">
        <f>IF(L12="","",IF(L12=COUNTIF(C11:C34,"Weekend Pass"),"✓","TRY"))</f>
        <v/>
      </c>
      <c r="N12" s="85"/>
    </row>
    <row r="13" spans="1:14" ht="32.1" customHeight="1">
      <c r="A13" s="74" t="s">
        <v>183</v>
      </c>
      <c r="B13" s="74" t="s">
        <v>172</v>
      </c>
      <c r="C13" s="74" t="s">
        <v>173</v>
      </c>
      <c r="D13" s="74" t="s">
        <v>184</v>
      </c>
      <c r="E13" s="74">
        <v>1</v>
      </c>
      <c r="F13" s="83">
        <v>18</v>
      </c>
      <c r="G13" s="75">
        <v>3.8</v>
      </c>
      <c r="I13" s="78" t="s">
        <v>185</v>
      </c>
      <c r="J13" s="78" t="s">
        <v>186</v>
      </c>
      <c r="K13" s="78" t="s">
        <v>187</v>
      </c>
      <c r="L13" s="86"/>
      <c r="M13" s="80" t="str">
        <f>IF(L13="","",IF(ABS(L13-SUMIF(B11:B34,"Indie Arcade",F11:F34))&lt;0.001,"✓","TRY"))</f>
        <v/>
      </c>
      <c r="N13" s="85" t="s">
        <v>188</v>
      </c>
    </row>
    <row r="14" spans="1:14" ht="32.1" customHeight="1">
      <c r="A14" s="76" t="s">
        <v>189</v>
      </c>
      <c r="B14" s="76" t="s">
        <v>190</v>
      </c>
      <c r="C14" s="76" t="s">
        <v>173</v>
      </c>
      <c r="D14" s="76" t="s">
        <v>191</v>
      </c>
      <c r="E14" s="76">
        <v>3</v>
      </c>
      <c r="F14" s="84">
        <v>24</v>
      </c>
      <c r="G14" s="77">
        <v>4.9000000000000004</v>
      </c>
      <c r="I14" s="78" t="s">
        <v>192</v>
      </c>
      <c r="J14" s="78" t="s">
        <v>186</v>
      </c>
      <c r="K14" s="78" t="s">
        <v>180</v>
      </c>
      <c r="L14" s="86"/>
      <c r="M14" s="80" t="str">
        <f>IF(L14="","",IF(ABS(L14-SUMIF(D11:D34,"TikTok",F11:F34))&lt;0.001,"✓","TRY"))</f>
        <v/>
      </c>
      <c r="N14" s="85"/>
    </row>
    <row r="15" spans="1:14" ht="32.1" customHeight="1">
      <c r="A15" s="74" t="s">
        <v>193</v>
      </c>
      <c r="B15" s="74" t="s">
        <v>187</v>
      </c>
      <c r="C15" s="74" t="s">
        <v>179</v>
      </c>
      <c r="D15" s="74" t="s">
        <v>191</v>
      </c>
      <c r="E15" s="74">
        <v>3</v>
      </c>
      <c r="F15" s="83">
        <v>71</v>
      </c>
      <c r="G15" s="75">
        <v>3.8</v>
      </c>
      <c r="I15" s="78" t="s">
        <v>194</v>
      </c>
      <c r="J15" s="78" t="s">
        <v>195</v>
      </c>
      <c r="K15" s="78" t="s">
        <v>196</v>
      </c>
      <c r="L15" s="87"/>
      <c r="M15" s="80" t="str">
        <f>IF(L15="","",IF(ABS(L15-AVERAGEIF(B11:B34,"Creator Lab",G11:G34))&lt;0.001,"✓","TRY"))</f>
        <v/>
      </c>
      <c r="N15" s="85" t="s">
        <v>197</v>
      </c>
    </row>
    <row r="16" spans="1:14" ht="32.1" customHeight="1">
      <c r="A16" s="76" t="s">
        <v>198</v>
      </c>
      <c r="B16" s="76" t="s">
        <v>187</v>
      </c>
      <c r="C16" s="76" t="s">
        <v>182</v>
      </c>
      <c r="D16" s="76" t="s">
        <v>180</v>
      </c>
      <c r="E16" s="76">
        <v>1</v>
      </c>
      <c r="F16" s="84">
        <v>22</v>
      </c>
      <c r="G16" s="77">
        <v>3.5</v>
      </c>
      <c r="I16" s="78" t="s">
        <v>199</v>
      </c>
      <c r="J16" s="78" t="s">
        <v>195</v>
      </c>
      <c r="K16" s="78" t="s">
        <v>179</v>
      </c>
      <c r="L16" s="87"/>
      <c r="M16" s="80" t="str">
        <f>IF(L16="","",IF(ABS(L16-AVERAGEIF(C11:C34,"VIP Pass",G11:G34))&lt;0.001,"✓","TRY"))</f>
        <v/>
      </c>
      <c r="N16" s="85"/>
    </row>
    <row r="17" spans="1:14" ht="32.1" customHeight="1">
      <c r="A17" s="74" t="s">
        <v>200</v>
      </c>
      <c r="B17" s="74" t="s">
        <v>196</v>
      </c>
      <c r="C17" s="74" t="s">
        <v>182</v>
      </c>
      <c r="D17" s="74" t="s">
        <v>174</v>
      </c>
      <c r="E17" s="74">
        <v>1</v>
      </c>
      <c r="F17" s="83">
        <v>22</v>
      </c>
      <c r="G17" s="75">
        <v>4.5</v>
      </c>
      <c r="I17" s="78" t="s">
        <v>201</v>
      </c>
      <c r="J17" s="78" t="s">
        <v>202</v>
      </c>
      <c r="K17" s="78" t="s">
        <v>171</v>
      </c>
      <c r="L17" s="79"/>
      <c r="M17" s="80" t="str">
        <f>IF(L17="","",IF(L17=FIND("-",A11),"✓","TRY"))</f>
        <v/>
      </c>
      <c r="N17" s="85" t="s">
        <v>203</v>
      </c>
    </row>
    <row r="18" spans="1:14" ht="32.1" customHeight="1">
      <c r="A18" s="76" t="s">
        <v>204</v>
      </c>
      <c r="B18" s="76" t="s">
        <v>172</v>
      </c>
      <c r="C18" s="76" t="s">
        <v>182</v>
      </c>
      <c r="D18" s="76" t="s">
        <v>180</v>
      </c>
      <c r="E18" s="76">
        <v>3</v>
      </c>
      <c r="F18" s="84">
        <v>52</v>
      </c>
      <c r="G18" s="77">
        <v>4.9000000000000004</v>
      </c>
      <c r="I18" s="78" t="s">
        <v>205</v>
      </c>
      <c r="J18" s="78" t="s">
        <v>206</v>
      </c>
      <c r="K18" s="78" t="s">
        <v>173</v>
      </c>
      <c r="L18" s="86"/>
      <c r="M18" s="80" t="str">
        <f>IF(L18="","",IF(L18=8,"✓","TRY"))</f>
        <v/>
      </c>
      <c r="N18" s="85" t="s">
        <v>207</v>
      </c>
    </row>
    <row r="19" spans="1:14" ht="32.1" customHeight="1">
      <c r="A19" s="74" t="s">
        <v>208</v>
      </c>
      <c r="B19" s="74" t="s">
        <v>196</v>
      </c>
      <c r="C19" s="74" t="s">
        <v>179</v>
      </c>
      <c r="D19" s="74" t="s">
        <v>184</v>
      </c>
      <c r="E19" s="74">
        <v>1</v>
      </c>
      <c r="F19" s="83">
        <v>22</v>
      </c>
      <c r="G19" s="75">
        <v>4.7</v>
      </c>
      <c r="I19" s="78" t="s">
        <v>209</v>
      </c>
      <c r="J19" s="78" t="s">
        <v>206</v>
      </c>
      <c r="K19" s="78" t="s">
        <v>179</v>
      </c>
      <c r="L19" s="86"/>
      <c r="M19" s="80" t="str">
        <f>IF(L19="","",IF(L19=22,"✓","TRY"))</f>
        <v/>
      </c>
      <c r="N19" s="85"/>
    </row>
    <row r="20" spans="1:14" ht="32.1" customHeight="1">
      <c r="A20" s="76" t="s">
        <v>210</v>
      </c>
      <c r="B20" s="76" t="s">
        <v>187</v>
      </c>
      <c r="C20" s="76" t="s">
        <v>182</v>
      </c>
      <c r="D20" s="76" t="s">
        <v>180</v>
      </c>
      <c r="E20" s="76">
        <v>2</v>
      </c>
      <c r="F20" s="84">
        <v>28</v>
      </c>
      <c r="G20" s="77">
        <v>4.2</v>
      </c>
      <c r="I20" s="78" t="s">
        <v>211</v>
      </c>
      <c r="J20" s="78" t="s">
        <v>206</v>
      </c>
      <c r="K20" s="78" t="s">
        <v>182</v>
      </c>
      <c r="L20" s="86"/>
      <c r="M20" s="80" t="str">
        <f>IF(L20="","",IF(L20=14,"✓","TRY"))</f>
        <v/>
      </c>
      <c r="N20" s="85" t="s">
        <v>212</v>
      </c>
    </row>
    <row r="21" spans="1:14" ht="21.95" customHeight="1">
      <c r="A21" s="74" t="s">
        <v>213</v>
      </c>
      <c r="B21" s="74" t="s">
        <v>196</v>
      </c>
      <c r="C21" s="74" t="s">
        <v>182</v>
      </c>
      <c r="D21" s="74" t="s">
        <v>174</v>
      </c>
      <c r="E21" s="74">
        <v>2</v>
      </c>
      <c r="F21" s="83">
        <v>33</v>
      </c>
      <c r="G21" s="75">
        <v>4</v>
      </c>
    </row>
    <row r="22" spans="1:14" ht="21.95" customHeight="1">
      <c r="A22" s="76" t="s">
        <v>214</v>
      </c>
      <c r="B22" s="76" t="s">
        <v>187</v>
      </c>
      <c r="C22" s="76" t="s">
        <v>179</v>
      </c>
      <c r="D22" s="76" t="s">
        <v>174</v>
      </c>
      <c r="E22" s="76">
        <v>1</v>
      </c>
      <c r="F22" s="84">
        <v>32</v>
      </c>
      <c r="G22" s="77">
        <v>4.7</v>
      </c>
    </row>
    <row r="23" spans="1:14" ht="21.95" customHeight="1">
      <c r="A23" s="74" t="s">
        <v>215</v>
      </c>
      <c r="B23" s="74" t="s">
        <v>187</v>
      </c>
      <c r="C23" s="74" t="s">
        <v>179</v>
      </c>
      <c r="D23" s="74" t="s">
        <v>184</v>
      </c>
      <c r="E23" s="74">
        <v>2</v>
      </c>
      <c r="F23" s="83">
        <v>52</v>
      </c>
      <c r="G23" s="75">
        <v>4.2</v>
      </c>
      <c r="I23" s="39" t="s">
        <v>216</v>
      </c>
      <c r="J23" s="39"/>
      <c r="K23" s="39"/>
      <c r="L23" s="39"/>
      <c r="M23" s="39"/>
      <c r="N23" s="39"/>
    </row>
    <row r="24" spans="1:14" ht="21.95" customHeight="1">
      <c r="A24" s="76" t="s">
        <v>217</v>
      </c>
      <c r="B24" s="76" t="s">
        <v>196</v>
      </c>
      <c r="C24" s="76" t="s">
        <v>179</v>
      </c>
      <c r="D24" s="76" t="s">
        <v>184</v>
      </c>
      <c r="E24" s="76">
        <v>3</v>
      </c>
      <c r="F24" s="84">
        <v>66</v>
      </c>
      <c r="G24" s="77">
        <v>3.8</v>
      </c>
      <c r="I24" s="88" t="s">
        <v>218</v>
      </c>
      <c r="J24" s="88"/>
      <c r="K24" s="88"/>
      <c r="L24" s="88"/>
      <c r="M24" s="88"/>
      <c r="N24" s="88"/>
    </row>
    <row r="25" spans="1:14" ht="21.95" customHeight="1">
      <c r="A25" s="74" t="s">
        <v>219</v>
      </c>
      <c r="B25" s="74" t="s">
        <v>172</v>
      </c>
      <c r="C25" s="74" t="s">
        <v>182</v>
      </c>
      <c r="D25" s="74" t="s">
        <v>191</v>
      </c>
      <c r="E25" s="74">
        <v>3</v>
      </c>
      <c r="F25" s="83">
        <v>42</v>
      </c>
      <c r="G25" s="75">
        <v>3.8</v>
      </c>
      <c r="I25" s="88"/>
      <c r="J25" s="88"/>
      <c r="K25" s="88"/>
      <c r="L25" s="88"/>
      <c r="M25" s="88"/>
      <c r="N25" s="88"/>
    </row>
    <row r="26" spans="1:14" ht="21.95" customHeight="1">
      <c r="A26" s="76" t="s">
        <v>220</v>
      </c>
      <c r="B26" s="76" t="s">
        <v>196</v>
      </c>
      <c r="C26" s="76" t="s">
        <v>173</v>
      </c>
      <c r="D26" s="76" t="s">
        <v>191</v>
      </c>
      <c r="E26" s="76">
        <v>4</v>
      </c>
      <c r="F26" s="84">
        <v>40</v>
      </c>
      <c r="G26" s="77">
        <v>3.8</v>
      </c>
      <c r="I26" s="88"/>
      <c r="J26" s="88"/>
      <c r="K26" s="88"/>
      <c r="L26" s="88"/>
      <c r="M26" s="88"/>
      <c r="N26" s="88"/>
    </row>
    <row r="27" spans="1:14" ht="21.95" customHeight="1">
      <c r="A27" s="74" t="s">
        <v>221</v>
      </c>
      <c r="B27" s="74" t="s">
        <v>196</v>
      </c>
      <c r="C27" s="74" t="s">
        <v>173</v>
      </c>
      <c r="D27" s="74" t="s">
        <v>184</v>
      </c>
      <c r="E27" s="74">
        <v>3</v>
      </c>
      <c r="F27" s="83">
        <v>34</v>
      </c>
      <c r="G27" s="75">
        <v>4.2</v>
      </c>
      <c r="I27" s="88"/>
      <c r="J27" s="88"/>
      <c r="K27" s="88"/>
      <c r="L27" s="88"/>
      <c r="M27" s="88"/>
      <c r="N27" s="88"/>
    </row>
    <row r="28" spans="1:14" ht="21.95" customHeight="1">
      <c r="A28" s="76" t="s">
        <v>222</v>
      </c>
      <c r="B28" s="76" t="s">
        <v>190</v>
      </c>
      <c r="C28" s="76" t="s">
        <v>182</v>
      </c>
      <c r="D28" s="76" t="s">
        <v>184</v>
      </c>
      <c r="E28" s="76">
        <v>2</v>
      </c>
      <c r="F28" s="84">
        <v>38</v>
      </c>
      <c r="G28" s="77">
        <v>4.2</v>
      </c>
      <c r="K28" s="8" t="s">
        <v>173</v>
      </c>
      <c r="M28" s="7" t="s">
        <v>173</v>
      </c>
      <c r="N28" s="9">
        <v>8</v>
      </c>
    </row>
    <row r="29" spans="1:14" ht="21.95" customHeight="1">
      <c r="A29" s="74" t="s">
        <v>223</v>
      </c>
      <c r="B29" s="74" t="s">
        <v>172</v>
      </c>
      <c r="C29" s="74" t="s">
        <v>173</v>
      </c>
      <c r="D29" s="74" t="s">
        <v>180</v>
      </c>
      <c r="E29" s="74">
        <v>2</v>
      </c>
      <c r="F29" s="83">
        <v>19</v>
      </c>
      <c r="G29" s="75">
        <v>4.9000000000000004</v>
      </c>
      <c r="K29" s="8" t="s">
        <v>179</v>
      </c>
      <c r="M29" s="7" t="s">
        <v>179</v>
      </c>
      <c r="N29" s="9">
        <v>22</v>
      </c>
    </row>
    <row r="30" spans="1:14" ht="21.95" customHeight="1">
      <c r="A30" s="76" t="s">
        <v>224</v>
      </c>
      <c r="B30" s="76" t="s">
        <v>190</v>
      </c>
      <c r="C30" s="76" t="s">
        <v>179</v>
      </c>
      <c r="D30" s="76" t="s">
        <v>180</v>
      </c>
      <c r="E30" s="76">
        <v>4</v>
      </c>
      <c r="F30" s="84">
        <v>96</v>
      </c>
      <c r="G30" s="77">
        <v>4.5</v>
      </c>
      <c r="K30" s="8" t="s">
        <v>182</v>
      </c>
      <c r="M30" s="7" t="s">
        <v>182</v>
      </c>
      <c r="N30" s="9">
        <v>14</v>
      </c>
    </row>
    <row r="31" spans="1:14" ht="21.95" customHeight="1">
      <c r="A31" s="74" t="s">
        <v>225</v>
      </c>
      <c r="B31" s="74" t="s">
        <v>190</v>
      </c>
      <c r="C31" s="74" t="s">
        <v>179</v>
      </c>
      <c r="D31" s="74" t="s">
        <v>174</v>
      </c>
      <c r="E31" s="74">
        <v>1</v>
      </c>
      <c r="F31" s="83">
        <v>22</v>
      </c>
      <c r="G31" s="75">
        <v>4.7</v>
      </c>
    </row>
    <row r="32" spans="1:14" ht="21.95" customHeight="1">
      <c r="A32" s="76" t="s">
        <v>226</v>
      </c>
      <c r="B32" s="76" t="s">
        <v>196</v>
      </c>
      <c r="C32" s="76" t="s">
        <v>179</v>
      </c>
      <c r="D32" s="76" t="s">
        <v>174</v>
      </c>
      <c r="E32" s="76">
        <v>1</v>
      </c>
      <c r="F32" s="84">
        <v>27</v>
      </c>
      <c r="G32" s="77">
        <v>4.2</v>
      </c>
      <c r="I32" s="35" t="s">
        <v>227</v>
      </c>
      <c r="J32" s="35"/>
      <c r="K32" s="35"/>
      <c r="L32" s="35"/>
      <c r="M32" s="35"/>
      <c r="N32" s="35"/>
    </row>
    <row r="33" spans="1:14" ht="21.95" customHeight="1">
      <c r="A33" s="74" t="s">
        <v>228</v>
      </c>
      <c r="B33" s="74" t="s">
        <v>187</v>
      </c>
      <c r="C33" s="74" t="s">
        <v>182</v>
      </c>
      <c r="D33" s="74" t="s">
        <v>180</v>
      </c>
      <c r="E33" s="74">
        <v>3</v>
      </c>
      <c r="F33" s="83">
        <v>52</v>
      </c>
      <c r="G33" s="75">
        <v>4.9000000000000004</v>
      </c>
      <c r="I33" s="55" t="s">
        <v>229</v>
      </c>
      <c r="J33" s="55"/>
      <c r="K33" s="55" t="s">
        <v>230</v>
      </c>
      <c r="L33" s="55"/>
      <c r="M33" s="55" t="s">
        <v>231</v>
      </c>
      <c r="N33" s="55"/>
    </row>
    <row r="34" spans="1:14" ht="21.95" customHeight="1">
      <c r="A34" s="76" t="s">
        <v>232</v>
      </c>
      <c r="B34" s="76" t="s">
        <v>187</v>
      </c>
      <c r="C34" s="76" t="s">
        <v>179</v>
      </c>
      <c r="D34" s="76" t="s">
        <v>180</v>
      </c>
      <c r="E34" s="76">
        <v>3</v>
      </c>
      <c r="F34" s="84">
        <v>76</v>
      </c>
      <c r="G34" s="77">
        <v>4.5</v>
      </c>
      <c r="I34" s="55"/>
      <c r="J34" s="55"/>
      <c r="K34" s="55"/>
      <c r="L34" s="55"/>
      <c r="M34" s="55"/>
      <c r="N34" s="55"/>
    </row>
    <row r="35" spans="1:14" ht="21.95" customHeight="1">
      <c r="I35" s="55"/>
      <c r="J35" s="55"/>
      <c r="K35" s="55"/>
      <c r="L35" s="55"/>
      <c r="M35" s="55"/>
      <c r="N35" s="55"/>
    </row>
    <row r="36" spans="1:14" ht="21.95" customHeight="1">
      <c r="I36" s="55"/>
      <c r="J36" s="55"/>
      <c r="K36" s="55"/>
      <c r="L36" s="55"/>
      <c r="M36" s="55"/>
      <c r="N36" s="55"/>
    </row>
    <row r="37" spans="1:14" ht="21.95" customHeight="1">
      <c r="I37" s="55"/>
      <c r="J37" s="55"/>
      <c r="K37" s="55"/>
      <c r="L37" s="55"/>
      <c r="M37" s="55"/>
      <c r="N37" s="55"/>
    </row>
    <row r="38" spans="1:14" ht="21.95" customHeight="1"/>
    <row r="39" spans="1:14" ht="21.95" customHeight="1"/>
    <row r="40" spans="1:14" ht="21.95" customHeight="1"/>
  </sheetData>
  <mergeCells count="14">
    <mergeCell ref="I33:J37"/>
    <mergeCell ref="K33:L37"/>
    <mergeCell ref="M33:N37"/>
    <mergeCell ref="I24:I27"/>
    <mergeCell ref="J24:N27"/>
    <mergeCell ref="A9:G9"/>
    <mergeCell ref="I9:N9"/>
    <mergeCell ref="I23:N23"/>
    <mergeCell ref="I32:N32"/>
    <mergeCell ref="A1:N2"/>
    <mergeCell ref="A3:N3"/>
    <mergeCell ref="A4:C4"/>
    <mergeCell ref="D4:N4"/>
    <mergeCell ref="A6:N7"/>
  </mergeCells>
  <conditionalFormatting sqref="M11:M20">
    <cfRule type="expression" dxfId="3" priority="1">
      <formula>M11="✓"</formula>
    </cfRule>
    <cfRule type="expression" dxfId="2" priority="2">
      <formula>M11="TRY"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5"/>
  <sheetViews>
    <sheetView topLeftCell="A13" workbookViewId="0">
      <selection activeCell="K10" sqref="K10:N12"/>
    </sheetView>
  </sheetViews>
  <sheetFormatPr defaultRowHeight="14.25"/>
  <cols>
    <col min="1" max="1" width="11" customWidth="1"/>
    <col min="2" max="2" width="18" customWidth="1"/>
    <col min="3" max="3" width="13" customWidth="1"/>
    <col min="4" max="4" width="12" customWidth="1"/>
    <col min="5" max="5" width="10" customWidth="1"/>
    <col min="6" max="6" width="3" customWidth="1"/>
    <col min="7" max="7" width="16" customWidth="1"/>
    <col min="8" max="10" width="14" customWidth="1"/>
    <col min="11" max="11" width="16" customWidth="1"/>
    <col min="12" max="14" width="14" customWidth="1"/>
  </cols>
  <sheetData>
    <row r="1" spans="1:14" ht="21.95" customHeight="1">
      <c r="A1" s="11" t="s">
        <v>233</v>
      </c>
      <c r="B1" s="12"/>
      <c r="C1" s="12"/>
      <c r="D1" s="12"/>
      <c r="E1" s="12"/>
      <c r="F1" s="12"/>
      <c r="G1" s="12"/>
      <c r="H1" s="12"/>
      <c r="I1" s="12"/>
      <c r="J1" s="12"/>
      <c r="K1" s="12"/>
      <c r="L1" s="12"/>
      <c r="M1" s="12"/>
      <c r="N1" s="12"/>
    </row>
    <row r="2" spans="1:14" ht="21.95" customHeight="1">
      <c r="A2" s="12"/>
      <c r="B2" s="12"/>
      <c r="C2" s="12"/>
      <c r="D2" s="12"/>
      <c r="E2" s="12"/>
      <c r="F2" s="12"/>
      <c r="G2" s="12"/>
      <c r="H2" s="12"/>
      <c r="I2" s="12"/>
      <c r="J2" s="12"/>
      <c r="K2" s="12"/>
      <c r="L2" s="12"/>
      <c r="M2" s="12"/>
      <c r="N2" s="12"/>
    </row>
    <row r="3" spans="1:14" ht="21.95" customHeight="1">
      <c r="A3" s="13" t="s">
        <v>234</v>
      </c>
      <c r="B3" s="12"/>
      <c r="C3" s="12"/>
      <c r="D3" s="12"/>
      <c r="E3" s="12"/>
      <c r="F3" s="12"/>
      <c r="G3" s="12"/>
      <c r="H3" s="12"/>
      <c r="I3" s="12"/>
      <c r="J3" s="12"/>
      <c r="K3" s="12"/>
      <c r="L3" s="12"/>
      <c r="M3" s="12"/>
      <c r="N3" s="12"/>
    </row>
    <row r="4" spans="1:14" ht="21.95" customHeight="1">
      <c r="A4" s="56" t="s">
        <v>235</v>
      </c>
      <c r="B4" s="56"/>
      <c r="C4" s="56"/>
      <c r="D4" s="15" t="s">
        <v>3</v>
      </c>
      <c r="E4" s="15"/>
      <c r="F4" s="15"/>
      <c r="G4" s="15"/>
      <c r="H4" s="15"/>
      <c r="I4" s="15"/>
      <c r="J4" s="15"/>
      <c r="K4" s="15"/>
      <c r="L4" s="15"/>
      <c r="M4" s="15"/>
      <c r="N4" s="15"/>
    </row>
    <row r="5" spans="1:14" ht="21.95" customHeight="1"/>
    <row r="6" spans="1:14" ht="21.95" customHeight="1">
      <c r="A6" s="54" t="s">
        <v>236</v>
      </c>
      <c r="B6" s="54"/>
      <c r="C6" s="54"/>
      <c r="D6" s="54"/>
      <c r="E6" s="54"/>
      <c r="F6" s="54"/>
      <c r="G6" s="54"/>
      <c r="H6" s="54"/>
      <c r="I6" s="54"/>
      <c r="J6" s="54"/>
      <c r="K6" s="54"/>
      <c r="L6" s="54"/>
      <c r="M6" s="54"/>
      <c r="N6" s="54"/>
    </row>
    <row r="7" spans="1:14" ht="21.95" customHeight="1">
      <c r="A7" s="54"/>
      <c r="B7" s="54"/>
      <c r="C7" s="54"/>
      <c r="D7" s="54"/>
      <c r="E7" s="54"/>
      <c r="F7" s="54"/>
      <c r="G7" s="54"/>
      <c r="H7" s="54"/>
      <c r="I7" s="54"/>
      <c r="J7" s="54"/>
      <c r="K7" s="54"/>
      <c r="L7" s="54"/>
      <c r="M7" s="54"/>
      <c r="N7" s="54"/>
    </row>
    <row r="8" spans="1:14" ht="21.95" customHeight="1"/>
    <row r="9" spans="1:14" ht="21.95" customHeight="1">
      <c r="A9" s="44" t="s">
        <v>237</v>
      </c>
      <c r="B9" s="44"/>
      <c r="C9" s="44"/>
      <c r="D9" s="44"/>
      <c r="E9" s="44"/>
      <c r="G9" s="34" t="s">
        <v>238</v>
      </c>
      <c r="H9" s="34"/>
      <c r="I9" s="34"/>
      <c r="J9" s="34"/>
      <c r="K9" s="35" t="s">
        <v>239</v>
      </c>
      <c r="L9" s="35"/>
      <c r="M9" s="35"/>
      <c r="N9" s="35"/>
    </row>
    <row r="10" spans="1:14" ht="21.95" customHeight="1">
      <c r="A10" s="64" t="s">
        <v>240</v>
      </c>
      <c r="B10" s="64" t="s">
        <v>165</v>
      </c>
      <c r="C10" s="64" t="s">
        <v>241</v>
      </c>
      <c r="D10" s="64" t="s">
        <v>242</v>
      </c>
      <c r="E10" s="64" t="s">
        <v>243</v>
      </c>
      <c r="G10" s="29" t="s">
        <v>244</v>
      </c>
      <c r="H10" s="29"/>
      <c r="I10" s="29"/>
      <c r="J10" s="29"/>
      <c r="K10" s="48" t="s">
        <v>245</v>
      </c>
      <c r="L10" s="48"/>
      <c r="M10" s="48"/>
      <c r="N10" s="48"/>
    </row>
    <row r="11" spans="1:14" ht="21.95" customHeight="1">
      <c r="A11" s="74" t="s">
        <v>246</v>
      </c>
      <c r="B11" s="74" t="s">
        <v>172</v>
      </c>
      <c r="C11" s="74" t="s">
        <v>247</v>
      </c>
      <c r="D11" s="83">
        <v>88</v>
      </c>
      <c r="E11" s="75">
        <v>4.5999999999999996</v>
      </c>
      <c r="G11" s="29"/>
      <c r="H11" s="29"/>
      <c r="I11" s="29"/>
      <c r="J11" s="29"/>
      <c r="K11" s="48"/>
      <c r="L11" s="48"/>
      <c r="M11" s="48"/>
      <c r="N11" s="48"/>
    </row>
    <row r="12" spans="1:14" ht="21.95" customHeight="1">
      <c r="A12" s="76" t="s">
        <v>248</v>
      </c>
      <c r="B12" s="76" t="s">
        <v>187</v>
      </c>
      <c r="C12" s="76" t="s">
        <v>249</v>
      </c>
      <c r="D12" s="84">
        <v>46</v>
      </c>
      <c r="E12" s="77">
        <v>4.2</v>
      </c>
      <c r="G12" s="29"/>
      <c r="H12" s="29"/>
      <c r="I12" s="29"/>
      <c r="J12" s="29"/>
      <c r="K12" s="48"/>
      <c r="L12" s="48"/>
      <c r="M12" s="48"/>
      <c r="N12" s="48"/>
    </row>
    <row r="13" spans="1:14" ht="21.95" customHeight="1">
      <c r="A13" s="74" t="s">
        <v>250</v>
      </c>
      <c r="B13" s="74" t="s">
        <v>196</v>
      </c>
      <c r="C13" s="74" t="s">
        <v>247</v>
      </c>
      <c r="D13" s="83">
        <v>72</v>
      </c>
      <c r="E13" s="75">
        <v>4.8</v>
      </c>
    </row>
    <row r="14" spans="1:14" ht="21.95" customHeight="1">
      <c r="A14" s="76" t="s">
        <v>251</v>
      </c>
      <c r="B14" s="76" t="s">
        <v>172</v>
      </c>
      <c r="C14" s="76" t="s">
        <v>252</v>
      </c>
      <c r="D14" s="84">
        <v>110</v>
      </c>
      <c r="E14" s="77">
        <v>4.0999999999999996</v>
      </c>
      <c r="G14" s="1"/>
      <c r="H14" s="6"/>
      <c r="I14" s="6"/>
      <c r="J14" s="6"/>
      <c r="K14" s="1"/>
    </row>
    <row r="15" spans="1:14" ht="21.95" customHeight="1">
      <c r="A15" s="74" t="s">
        <v>253</v>
      </c>
      <c r="B15" s="74" t="s">
        <v>190</v>
      </c>
      <c r="C15" s="74" t="s">
        <v>254</v>
      </c>
      <c r="D15" s="83">
        <v>95</v>
      </c>
      <c r="E15" s="75">
        <v>4.5</v>
      </c>
      <c r="G15" s="1"/>
      <c r="H15" s="6"/>
      <c r="I15" s="6"/>
      <c r="J15" s="6"/>
      <c r="K15" s="1"/>
    </row>
    <row r="16" spans="1:14" ht="21.95" customHeight="1">
      <c r="A16" s="76" t="s">
        <v>255</v>
      </c>
      <c r="B16" s="76" t="s">
        <v>196</v>
      </c>
      <c r="C16" s="76" t="s">
        <v>249</v>
      </c>
      <c r="D16" s="84">
        <v>58</v>
      </c>
      <c r="E16" s="77">
        <v>4.7</v>
      </c>
      <c r="G16" s="1"/>
      <c r="H16" s="6"/>
      <c r="I16" s="6"/>
      <c r="J16" s="6"/>
      <c r="K16" s="1"/>
    </row>
    <row r="17" spans="1:14" ht="21.95" customHeight="1">
      <c r="A17" s="74" t="s">
        <v>256</v>
      </c>
      <c r="B17" s="74" t="s">
        <v>187</v>
      </c>
      <c r="C17" s="74" t="s">
        <v>247</v>
      </c>
      <c r="D17" s="83">
        <v>39</v>
      </c>
      <c r="E17" s="75">
        <v>3.9</v>
      </c>
      <c r="G17" s="1"/>
      <c r="H17" s="6"/>
      <c r="I17" s="6"/>
      <c r="J17" s="6"/>
      <c r="K17" s="1"/>
    </row>
    <row r="18" spans="1:14" ht="21.95" customHeight="1">
      <c r="A18" s="76" t="s">
        <v>257</v>
      </c>
      <c r="B18" s="76" t="s">
        <v>172</v>
      </c>
      <c r="C18" s="76" t="s">
        <v>254</v>
      </c>
      <c r="D18" s="84">
        <v>126</v>
      </c>
      <c r="E18" s="77">
        <v>4.9000000000000004</v>
      </c>
      <c r="G18" s="1"/>
      <c r="H18" s="6"/>
      <c r="I18" s="6"/>
      <c r="J18" s="6"/>
      <c r="K18" s="1"/>
    </row>
    <row r="19" spans="1:14" ht="21.95" customHeight="1">
      <c r="A19" s="74" t="s">
        <v>258</v>
      </c>
      <c r="B19" s="74" t="s">
        <v>190</v>
      </c>
      <c r="C19" s="74" t="s">
        <v>252</v>
      </c>
      <c r="D19" s="83">
        <v>81</v>
      </c>
      <c r="E19" s="75">
        <v>4.3</v>
      </c>
      <c r="G19" s="1"/>
      <c r="H19" s="6"/>
      <c r="I19" s="6"/>
      <c r="J19" s="6"/>
      <c r="K19" s="1"/>
    </row>
    <row r="20" spans="1:14" ht="21.95" customHeight="1">
      <c r="A20" s="76" t="s">
        <v>259</v>
      </c>
      <c r="B20" s="76" t="s">
        <v>196</v>
      </c>
      <c r="C20" s="76" t="s">
        <v>254</v>
      </c>
      <c r="D20" s="84">
        <v>67</v>
      </c>
      <c r="E20" s="77">
        <v>4.5999999999999996</v>
      </c>
      <c r="G20" s="10"/>
      <c r="H20" s="6"/>
      <c r="I20" s="6"/>
      <c r="J20" s="6"/>
      <c r="K20" s="10"/>
    </row>
    <row r="21" spans="1:14" ht="21.95" customHeight="1">
      <c r="A21" s="74" t="s">
        <v>260</v>
      </c>
      <c r="B21" s="74" t="s">
        <v>187</v>
      </c>
      <c r="C21" s="74" t="s">
        <v>249</v>
      </c>
      <c r="D21" s="83">
        <v>52</v>
      </c>
      <c r="E21" s="75">
        <v>4</v>
      </c>
    </row>
    <row r="22" spans="1:14" ht="21.95" customHeight="1">
      <c r="A22" s="76" t="s">
        <v>261</v>
      </c>
      <c r="B22" s="76" t="s">
        <v>172</v>
      </c>
      <c r="C22" s="76" t="s">
        <v>247</v>
      </c>
      <c r="D22" s="84">
        <v>104</v>
      </c>
      <c r="E22" s="77">
        <v>4.4000000000000004</v>
      </c>
      <c r="G22" s="45" t="s">
        <v>262</v>
      </c>
      <c r="H22" s="45"/>
      <c r="I22" s="45"/>
      <c r="J22" s="45"/>
      <c r="K22" s="45"/>
      <c r="L22" s="45"/>
      <c r="M22" s="45"/>
      <c r="N22" s="45"/>
    </row>
    <row r="23" spans="1:14" ht="21.95" customHeight="1">
      <c r="A23" s="74" t="s">
        <v>263</v>
      </c>
      <c r="B23" s="74" t="s">
        <v>190</v>
      </c>
      <c r="C23" s="74" t="s">
        <v>247</v>
      </c>
      <c r="D23" s="83">
        <v>76</v>
      </c>
      <c r="E23" s="75">
        <v>4.2</v>
      </c>
      <c r="G23" s="51" t="s">
        <v>264</v>
      </c>
      <c r="H23" s="51"/>
      <c r="I23" s="51"/>
      <c r="J23" s="51"/>
      <c r="K23" s="51"/>
      <c r="L23" s="51"/>
      <c r="M23" s="51"/>
      <c r="N23" s="51"/>
    </row>
    <row r="24" spans="1:14" ht="21.95" customHeight="1">
      <c r="A24" s="76" t="s">
        <v>265</v>
      </c>
      <c r="B24" s="76" t="s">
        <v>196</v>
      </c>
      <c r="C24" s="76" t="s">
        <v>252</v>
      </c>
      <c r="D24" s="84">
        <v>61</v>
      </c>
      <c r="E24" s="77">
        <v>4.8</v>
      </c>
      <c r="G24" s="51"/>
      <c r="H24" s="51"/>
      <c r="I24" s="51"/>
      <c r="J24" s="51"/>
      <c r="K24" s="51"/>
      <c r="L24" s="51"/>
      <c r="M24" s="51"/>
      <c r="N24" s="51"/>
    </row>
    <row r="25" spans="1:14" ht="21.95" customHeight="1">
      <c r="A25" s="74" t="s">
        <v>266</v>
      </c>
      <c r="B25" s="74" t="s">
        <v>187</v>
      </c>
      <c r="C25" s="74" t="s">
        <v>254</v>
      </c>
      <c r="D25" s="83">
        <v>44</v>
      </c>
      <c r="E25" s="75">
        <v>4.0999999999999996</v>
      </c>
      <c r="G25" s="51"/>
      <c r="H25" s="51"/>
      <c r="I25" s="51"/>
      <c r="J25" s="51"/>
      <c r="K25" s="51"/>
      <c r="L25" s="51"/>
      <c r="M25" s="51"/>
      <c r="N25" s="51"/>
    </row>
    <row r="26" spans="1:14" ht="21.95" customHeight="1">
      <c r="A26" s="76" t="s">
        <v>267</v>
      </c>
      <c r="B26" s="76" t="s">
        <v>172</v>
      </c>
      <c r="C26" s="76" t="s">
        <v>249</v>
      </c>
      <c r="D26" s="84">
        <v>118</v>
      </c>
      <c r="E26" s="77">
        <v>4.7</v>
      </c>
    </row>
    <row r="27" spans="1:14" ht="21.95" customHeight="1">
      <c r="G27" s="1"/>
      <c r="H27" s="1"/>
      <c r="I27" s="1"/>
      <c r="J27" s="1"/>
      <c r="K27" s="1"/>
    </row>
    <row r="28" spans="1:14" ht="21.95" customHeight="1">
      <c r="G28" s="1"/>
      <c r="H28" s="1"/>
      <c r="I28" s="1"/>
      <c r="J28" s="1"/>
      <c r="K28" s="1"/>
    </row>
    <row r="29" spans="1:14" ht="21.95" customHeight="1">
      <c r="A29" s="39" t="s">
        <v>268</v>
      </c>
      <c r="B29" s="39"/>
      <c r="C29" s="39"/>
      <c r="D29" s="39"/>
      <c r="E29" s="39"/>
      <c r="G29" s="1"/>
      <c r="H29" s="1"/>
      <c r="I29" s="1"/>
      <c r="J29" s="1"/>
      <c r="K29" s="1"/>
    </row>
    <row r="30" spans="1:14" ht="21.95" customHeight="1">
      <c r="A30" s="57" t="s">
        <v>269</v>
      </c>
      <c r="B30" s="57"/>
      <c r="C30" s="57"/>
      <c r="D30" s="57"/>
      <c r="E30" s="57"/>
      <c r="G30" s="1"/>
      <c r="H30" s="1"/>
      <c r="I30" s="1"/>
      <c r="J30" s="1"/>
      <c r="K30" s="1"/>
    </row>
    <row r="31" spans="1:14" ht="21.95" customHeight="1">
      <c r="A31" s="57"/>
      <c r="B31" s="57"/>
      <c r="C31" s="57"/>
      <c r="D31" s="57"/>
      <c r="E31" s="57"/>
      <c r="G31" s="1"/>
      <c r="H31" s="1"/>
      <c r="I31" s="1"/>
      <c r="J31" s="1"/>
      <c r="K31" s="1"/>
    </row>
    <row r="32" spans="1:14" ht="21.95" customHeight="1">
      <c r="A32" s="57"/>
      <c r="B32" s="57"/>
      <c r="C32" s="57"/>
      <c r="D32" s="57"/>
      <c r="E32" s="57"/>
      <c r="G32" s="1"/>
      <c r="H32" s="1"/>
      <c r="I32" s="1"/>
      <c r="J32" s="1"/>
      <c r="K32" s="1"/>
    </row>
    <row r="33" spans="1:14" ht="21.95" customHeight="1">
      <c r="A33" s="57"/>
      <c r="B33" s="57"/>
      <c r="C33" s="57"/>
      <c r="D33" s="57"/>
      <c r="E33" s="57"/>
      <c r="G33" s="1"/>
      <c r="H33" s="1"/>
      <c r="I33" s="1"/>
      <c r="J33" s="1"/>
      <c r="K33" s="1"/>
    </row>
    <row r="34" spans="1:14" ht="21.95" customHeight="1">
      <c r="G34" s="1"/>
      <c r="H34" s="1"/>
      <c r="I34" s="1"/>
      <c r="J34" s="1"/>
      <c r="K34" s="1"/>
    </row>
    <row r="35" spans="1:14" ht="21.95" customHeight="1">
      <c r="A35" s="1"/>
      <c r="B35" s="1"/>
      <c r="C35" s="1"/>
      <c r="D35" s="1"/>
      <c r="E35" s="1"/>
      <c r="G35" s="1"/>
      <c r="H35" s="1"/>
      <c r="I35" s="1"/>
      <c r="J35" s="1"/>
      <c r="K35" s="1"/>
    </row>
    <row r="36" spans="1:14" ht="21.95" customHeight="1">
      <c r="A36" s="1"/>
      <c r="B36" s="1"/>
      <c r="C36" s="1"/>
      <c r="D36" s="1"/>
      <c r="E36" s="1"/>
      <c r="G36" s="1"/>
      <c r="H36" s="1"/>
      <c r="I36" s="1"/>
      <c r="J36" s="1"/>
      <c r="K36" s="1"/>
    </row>
    <row r="37" spans="1:14" ht="21.95" customHeight="1">
      <c r="A37" s="1"/>
      <c r="B37" s="1"/>
      <c r="C37" s="1"/>
      <c r="D37" s="1"/>
      <c r="E37" s="1"/>
      <c r="G37" s="1"/>
      <c r="H37" s="1"/>
      <c r="I37" s="1"/>
      <c r="J37" s="1"/>
      <c r="K37" s="1"/>
    </row>
    <row r="38" spans="1:14" ht="21.95" customHeight="1">
      <c r="A38" s="1"/>
      <c r="B38" s="1"/>
      <c r="C38" s="1"/>
      <c r="D38" s="1"/>
      <c r="E38" s="1"/>
      <c r="G38" s="10"/>
      <c r="H38" s="10"/>
      <c r="I38" s="10"/>
      <c r="J38" s="10"/>
      <c r="K38" s="10"/>
    </row>
    <row r="39" spans="1:14" ht="21.95" customHeight="1">
      <c r="A39" s="1"/>
      <c r="B39" s="1"/>
      <c r="C39" s="1"/>
      <c r="D39" s="1"/>
      <c r="E39" s="1"/>
    </row>
    <row r="40" spans="1:14" ht="21.95" customHeight="1">
      <c r="A40" s="1"/>
      <c r="B40" s="1"/>
      <c r="C40" s="1"/>
      <c r="D40" s="1"/>
      <c r="E40" s="1"/>
      <c r="G40" s="47" t="s">
        <v>270</v>
      </c>
      <c r="H40" s="47"/>
      <c r="I40" s="47"/>
      <c r="J40" s="47"/>
      <c r="K40" s="47"/>
      <c r="L40" s="47"/>
      <c r="M40" s="47"/>
      <c r="N40" s="47"/>
    </row>
    <row r="41" spans="1:14" ht="21.95" customHeight="1">
      <c r="A41" s="1"/>
      <c r="B41" s="1"/>
      <c r="C41" s="1"/>
      <c r="D41" s="1"/>
      <c r="E41" s="1"/>
      <c r="G41" s="58" t="s">
        <v>271</v>
      </c>
      <c r="H41" s="58"/>
      <c r="I41" s="58"/>
      <c r="J41" s="58"/>
      <c r="K41" s="58"/>
      <c r="L41" s="58"/>
      <c r="M41" s="58"/>
      <c r="N41" s="58"/>
    </row>
    <row r="42" spans="1:14" ht="21.95" customHeight="1">
      <c r="A42" s="1"/>
      <c r="B42" s="1"/>
      <c r="C42" s="1"/>
      <c r="D42" s="1"/>
      <c r="E42" s="1"/>
      <c r="G42" s="58"/>
      <c r="H42" s="58"/>
      <c r="I42" s="58"/>
      <c r="J42" s="58"/>
      <c r="K42" s="58"/>
      <c r="L42" s="58"/>
      <c r="M42" s="58"/>
      <c r="N42" s="58"/>
    </row>
    <row r="43" spans="1:14" ht="21.95" customHeight="1">
      <c r="A43" s="1"/>
      <c r="B43" s="1"/>
      <c r="C43" s="1"/>
      <c r="D43" s="1"/>
      <c r="E43" s="1"/>
      <c r="G43" s="58"/>
      <c r="H43" s="58"/>
      <c r="I43" s="58"/>
      <c r="J43" s="58"/>
      <c r="K43" s="58"/>
      <c r="L43" s="58"/>
      <c r="M43" s="58"/>
      <c r="N43" s="58"/>
    </row>
    <row r="44" spans="1:14" ht="21.95" customHeight="1">
      <c r="A44" s="1"/>
      <c r="B44" s="1"/>
      <c r="C44" s="1"/>
      <c r="D44" s="1"/>
      <c r="E44" s="1"/>
      <c r="G44" s="58"/>
      <c r="H44" s="58"/>
      <c r="I44" s="58"/>
      <c r="J44" s="58"/>
      <c r="K44" s="58"/>
      <c r="L44" s="58"/>
      <c r="M44" s="58"/>
      <c r="N44" s="58"/>
    </row>
    <row r="45" spans="1:14" ht="21.95" customHeight="1">
      <c r="A45" s="1"/>
      <c r="B45" s="1"/>
      <c r="C45" s="1"/>
      <c r="D45" s="1"/>
      <c r="E45" s="1"/>
      <c r="G45" s="58"/>
      <c r="H45" s="58"/>
      <c r="I45" s="58"/>
      <c r="J45" s="58"/>
      <c r="K45" s="58"/>
      <c r="L45" s="58"/>
      <c r="M45" s="58"/>
      <c r="N45" s="58"/>
    </row>
    <row r="46" spans="1:14" ht="21.95" customHeight="1">
      <c r="A46" s="1"/>
      <c r="B46" s="1"/>
      <c r="C46" s="1"/>
      <c r="D46" s="1"/>
      <c r="E46" s="1"/>
      <c r="G46" s="58"/>
      <c r="H46" s="58"/>
      <c r="I46" s="58"/>
      <c r="J46" s="58"/>
      <c r="K46" s="58"/>
      <c r="L46" s="58"/>
      <c r="M46" s="58"/>
      <c r="N46" s="58"/>
    </row>
    <row r="47" spans="1:14" ht="21.95" customHeight="1">
      <c r="A47" s="1"/>
      <c r="B47" s="1"/>
      <c r="C47" s="1"/>
      <c r="D47" s="1"/>
      <c r="E47" s="1"/>
      <c r="G47" s="58"/>
      <c r="H47" s="58"/>
      <c r="I47" s="58"/>
      <c r="J47" s="58"/>
      <c r="K47" s="58"/>
      <c r="L47" s="58"/>
      <c r="M47" s="58"/>
      <c r="N47" s="58"/>
    </row>
    <row r="48" spans="1:14" ht="21.95" customHeight="1">
      <c r="A48" s="1"/>
      <c r="B48" s="1"/>
      <c r="C48" s="1"/>
      <c r="D48" s="1"/>
      <c r="E48" s="1"/>
    </row>
    <row r="49" spans="1:5" ht="21.95" customHeight="1">
      <c r="A49" s="1"/>
      <c r="B49" s="1"/>
      <c r="C49" s="1"/>
      <c r="D49" s="1"/>
      <c r="E49" s="1"/>
    </row>
    <row r="50" spans="1:5" ht="21.95" customHeight="1">
      <c r="A50" s="1"/>
      <c r="B50" s="1"/>
      <c r="C50" s="1"/>
      <c r="D50" s="1"/>
      <c r="E50" s="1"/>
    </row>
    <row r="51" spans="1:5" ht="21.95" customHeight="1">
      <c r="A51" s="10"/>
      <c r="B51" s="10"/>
      <c r="C51" s="10"/>
      <c r="D51" s="10"/>
      <c r="E51" s="10"/>
    </row>
    <row r="52" spans="1:5" ht="21.95" customHeight="1"/>
    <row r="53" spans="1:5" ht="21.95" customHeight="1"/>
    <row r="54" spans="1:5" ht="21.95" customHeight="1"/>
    <row r="55" spans="1:5" ht="21.95" customHeight="1"/>
  </sheetData>
  <mergeCells count="16">
    <mergeCell ref="G41:N47"/>
    <mergeCell ref="G22:N22"/>
    <mergeCell ref="G23:N25"/>
    <mergeCell ref="A29:E29"/>
    <mergeCell ref="A30:E33"/>
    <mergeCell ref="G40:N40"/>
    <mergeCell ref="A9:E9"/>
    <mergeCell ref="G9:J9"/>
    <mergeCell ref="G10:J12"/>
    <mergeCell ref="K9:N9"/>
    <mergeCell ref="K10:N12"/>
    <mergeCell ref="A1:N2"/>
    <mergeCell ref="A3:N3"/>
    <mergeCell ref="A4:C4"/>
    <mergeCell ref="D4:N4"/>
    <mergeCell ref="A6:N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5"/>
  <sheetViews>
    <sheetView workbookViewId="0">
      <selection activeCell="F23" sqref="F23"/>
    </sheetView>
  </sheetViews>
  <sheetFormatPr defaultRowHeight="14.25"/>
  <cols>
    <col min="1" max="1" width="18" customWidth="1"/>
    <col min="2" max="3" width="12" customWidth="1"/>
    <col min="4" max="4" width="15" customWidth="1"/>
    <col min="5" max="5" width="3" customWidth="1"/>
    <col min="6" max="6" width="5" customWidth="1"/>
    <col min="7" max="7" width="34" customWidth="1"/>
    <col min="8" max="8" width="16" customWidth="1"/>
    <col min="9" max="9" width="18" customWidth="1"/>
    <col min="10" max="10" width="9" customWidth="1"/>
    <col min="11" max="14" width="15" customWidth="1"/>
  </cols>
  <sheetData>
    <row r="1" spans="1:14" ht="21.95" customHeight="1">
      <c r="A1" s="11" t="s">
        <v>272</v>
      </c>
      <c r="B1" s="12"/>
      <c r="C1" s="12"/>
      <c r="D1" s="12"/>
      <c r="E1" s="12"/>
      <c r="F1" s="12"/>
      <c r="G1" s="12"/>
      <c r="H1" s="12"/>
      <c r="I1" s="12"/>
      <c r="J1" s="12"/>
      <c r="K1" s="59"/>
      <c r="L1" s="59"/>
      <c r="M1" s="59"/>
      <c r="N1" s="59"/>
    </row>
    <row r="2" spans="1:14" ht="21.95" customHeight="1">
      <c r="A2" s="12"/>
      <c r="B2" s="12"/>
      <c r="C2" s="12"/>
      <c r="D2" s="12"/>
      <c r="E2" s="12"/>
      <c r="F2" s="12"/>
      <c r="G2" s="12"/>
      <c r="H2" s="12"/>
      <c r="I2" s="12"/>
      <c r="J2" s="12"/>
      <c r="K2" s="12"/>
      <c r="L2" s="12"/>
      <c r="M2" s="12"/>
      <c r="N2" s="12"/>
    </row>
    <row r="3" spans="1:14" ht="21.95" customHeight="1">
      <c r="A3" s="13" t="s">
        <v>273</v>
      </c>
      <c r="B3" s="12"/>
      <c r="C3" s="12"/>
      <c r="D3" s="12"/>
      <c r="E3" s="12"/>
      <c r="F3" s="12"/>
      <c r="G3" s="12"/>
      <c r="H3" s="12"/>
      <c r="I3" s="12"/>
      <c r="J3" s="12"/>
      <c r="K3" s="12"/>
      <c r="L3" s="12"/>
      <c r="M3" s="12"/>
      <c r="N3" s="12"/>
    </row>
    <row r="4" spans="1:14" ht="21.95" customHeight="1">
      <c r="A4" s="60" t="s">
        <v>274</v>
      </c>
      <c r="B4" s="60"/>
      <c r="C4" s="60"/>
      <c r="D4" s="15" t="s">
        <v>3</v>
      </c>
      <c r="E4" s="15"/>
      <c r="F4" s="15"/>
      <c r="G4" s="15"/>
      <c r="H4" s="15"/>
      <c r="I4" s="15"/>
      <c r="J4" s="15"/>
      <c r="K4" s="15"/>
      <c r="L4" s="15"/>
      <c r="M4" s="15"/>
      <c r="N4" s="15"/>
    </row>
    <row r="5" spans="1:14" ht="21.95" customHeight="1"/>
    <row r="6" spans="1:14" ht="21.95" customHeight="1">
      <c r="A6" s="46" t="s">
        <v>275</v>
      </c>
      <c r="B6" s="46"/>
      <c r="C6" s="46"/>
      <c r="D6" s="46"/>
      <c r="E6" s="46"/>
      <c r="F6" s="46"/>
      <c r="G6" s="46"/>
      <c r="H6" s="46"/>
      <c r="I6" s="46"/>
      <c r="J6" s="46"/>
      <c r="K6" s="46"/>
      <c r="L6" s="46"/>
      <c r="M6" s="46"/>
      <c r="N6" s="46"/>
    </row>
    <row r="7" spans="1:14" ht="21.95" customHeight="1">
      <c r="A7" s="46"/>
      <c r="B7" s="46"/>
      <c r="C7" s="46"/>
      <c r="D7" s="46"/>
      <c r="E7" s="46"/>
      <c r="F7" s="46"/>
      <c r="G7" s="46"/>
      <c r="H7" s="46"/>
      <c r="I7" s="46"/>
      <c r="J7" s="46"/>
      <c r="K7" s="46"/>
      <c r="L7" s="46"/>
      <c r="M7" s="46"/>
      <c r="N7" s="46"/>
    </row>
    <row r="8" spans="1:14" ht="21.95" customHeight="1">
      <c r="A8" s="46"/>
      <c r="B8" s="46"/>
      <c r="C8" s="46"/>
      <c r="D8" s="46"/>
      <c r="E8" s="46"/>
      <c r="F8" s="46"/>
      <c r="G8" s="46"/>
      <c r="H8" s="46"/>
      <c r="I8" s="46"/>
      <c r="J8" s="46"/>
      <c r="K8" s="46"/>
      <c r="L8" s="46"/>
      <c r="M8" s="46"/>
      <c r="N8" s="46"/>
    </row>
    <row r="9" spans="1:14" ht="21.95" customHeight="1"/>
    <row r="10" spans="1:14" ht="21.95" customHeight="1">
      <c r="A10" s="44" t="s">
        <v>276</v>
      </c>
      <c r="B10" s="44"/>
      <c r="C10" s="44"/>
      <c r="D10" s="44"/>
      <c r="F10" s="34" t="s">
        <v>277</v>
      </c>
      <c r="G10" s="34"/>
      <c r="H10" s="34"/>
      <c r="I10" s="34"/>
      <c r="J10" s="34"/>
      <c r="K10" s="34"/>
      <c r="L10" s="34"/>
      <c r="M10" s="34"/>
      <c r="N10" s="34"/>
    </row>
    <row r="11" spans="1:14" ht="21.95" customHeight="1">
      <c r="A11" s="64" t="s">
        <v>165</v>
      </c>
      <c r="B11" s="64" t="s">
        <v>242</v>
      </c>
      <c r="C11" s="64" t="s">
        <v>99</v>
      </c>
      <c r="D11" s="64" t="s">
        <v>278</v>
      </c>
      <c r="F11" s="64" t="s">
        <v>279</v>
      </c>
      <c r="G11" s="64" t="s">
        <v>142</v>
      </c>
      <c r="H11" s="64" t="s">
        <v>280</v>
      </c>
      <c r="I11" s="64" t="s">
        <v>281</v>
      </c>
      <c r="J11" s="64" t="s">
        <v>59</v>
      </c>
      <c r="K11" s="64" t="s">
        <v>282</v>
      </c>
      <c r="L11" s="64"/>
      <c r="M11" s="64"/>
      <c r="N11" s="64"/>
    </row>
    <row r="12" spans="1:14" ht="24.95" customHeight="1">
      <c r="A12" s="68" t="s">
        <v>172</v>
      </c>
      <c r="B12" s="67">
        <v>88</v>
      </c>
      <c r="C12" s="91">
        <v>4.5999999999999996</v>
      </c>
      <c r="D12" s="68" t="s">
        <v>180</v>
      </c>
      <c r="F12" s="68">
        <v>1</v>
      </c>
      <c r="G12" s="68" t="s">
        <v>283</v>
      </c>
      <c r="H12" s="68" t="s">
        <v>110</v>
      </c>
      <c r="I12" s="65"/>
      <c r="J12" s="66" t="str">
        <f>IF(I12="","",IF(I12=SUM(B12:B23),"✓","TRY"))</f>
        <v/>
      </c>
      <c r="K12" s="89" t="s">
        <v>284</v>
      </c>
      <c r="L12" s="89"/>
      <c r="M12" s="89"/>
      <c r="N12" s="89"/>
    </row>
    <row r="13" spans="1:14" ht="24.95" customHeight="1">
      <c r="A13" s="68" t="s">
        <v>187</v>
      </c>
      <c r="B13" s="67">
        <v>46</v>
      </c>
      <c r="C13" s="91">
        <v>4.2</v>
      </c>
      <c r="D13" s="68" t="s">
        <v>184</v>
      </c>
      <c r="F13" s="68">
        <v>2</v>
      </c>
      <c r="G13" s="68" t="s">
        <v>285</v>
      </c>
      <c r="H13" s="68" t="s">
        <v>115</v>
      </c>
      <c r="I13" s="90"/>
      <c r="J13" s="66" t="str">
        <f>IF(I13="","",IF(ABS(I13-AVERAGE(C12:C23))&lt;0.001,"✓","TRY"))</f>
        <v/>
      </c>
      <c r="K13" s="89" t="s">
        <v>286</v>
      </c>
      <c r="L13" s="89"/>
      <c r="M13" s="89"/>
      <c r="N13" s="89"/>
    </row>
    <row r="14" spans="1:14" ht="24.95" customHeight="1">
      <c r="A14" s="68" t="s">
        <v>196</v>
      </c>
      <c r="B14" s="67">
        <v>72</v>
      </c>
      <c r="C14" s="91">
        <v>4.8</v>
      </c>
      <c r="D14" s="68" t="s">
        <v>174</v>
      </c>
      <c r="F14" s="68">
        <v>3</v>
      </c>
      <c r="G14" s="68" t="s">
        <v>287</v>
      </c>
      <c r="H14" s="68" t="s">
        <v>176</v>
      </c>
      <c r="I14" s="71"/>
      <c r="J14" s="66" t="str">
        <f>IF(I14="","",IF(I14=COUNTIF(A12:A23,"VR Arena"),"✓","TRY"))</f>
        <v/>
      </c>
      <c r="K14" s="89" t="s">
        <v>288</v>
      </c>
      <c r="L14" s="89"/>
      <c r="M14" s="89"/>
      <c r="N14" s="89"/>
    </row>
    <row r="15" spans="1:14" ht="24.95" customHeight="1">
      <c r="A15" s="68" t="s">
        <v>172</v>
      </c>
      <c r="B15" s="67">
        <v>110</v>
      </c>
      <c r="C15" s="91">
        <v>4.0999999999999996</v>
      </c>
      <c r="D15" s="68" t="s">
        <v>180</v>
      </c>
      <c r="F15" s="68">
        <v>4</v>
      </c>
      <c r="G15" s="68" t="s">
        <v>289</v>
      </c>
      <c r="H15" s="68" t="s">
        <v>186</v>
      </c>
      <c r="I15" s="65"/>
      <c r="J15" s="66" t="str">
        <f>IF(I15="","",IF(ABS(I15-SUMIF(A12:A23,"Creator Lab",B12:B23))&lt;0.001,"✓","TRY"))</f>
        <v/>
      </c>
      <c r="K15" s="89" t="s">
        <v>290</v>
      </c>
      <c r="L15" s="89"/>
      <c r="M15" s="89"/>
      <c r="N15" s="89"/>
    </row>
    <row r="16" spans="1:14" ht="24.95" customHeight="1">
      <c r="A16" s="68" t="s">
        <v>190</v>
      </c>
      <c r="B16" s="67">
        <v>95</v>
      </c>
      <c r="C16" s="91">
        <v>4.5</v>
      </c>
      <c r="D16" s="68" t="s">
        <v>184</v>
      </c>
      <c r="F16" s="68">
        <v>5</v>
      </c>
      <c r="G16" s="68" t="s">
        <v>291</v>
      </c>
      <c r="H16" s="68" t="s">
        <v>195</v>
      </c>
      <c r="I16" s="90"/>
      <c r="J16" s="66" t="str">
        <f>IF(I16="","",IF(ABS(I16-AVERAGEIF(A12:A23,"VR Arena",C12:C23))&lt;0.001,"✓","TRY"))</f>
        <v/>
      </c>
      <c r="K16" s="89" t="s">
        <v>292</v>
      </c>
      <c r="L16" s="89"/>
      <c r="M16" s="89"/>
      <c r="N16" s="89"/>
    </row>
    <row r="17" spans="1:14" ht="24.95" customHeight="1">
      <c r="A17" s="68" t="s">
        <v>196</v>
      </c>
      <c r="B17" s="67">
        <v>58</v>
      </c>
      <c r="C17" s="91">
        <v>4.7</v>
      </c>
      <c r="D17" s="68" t="s">
        <v>191</v>
      </c>
      <c r="F17" s="68">
        <v>6</v>
      </c>
      <c r="G17" s="68" t="s">
        <v>293</v>
      </c>
      <c r="H17" s="68" t="s">
        <v>294</v>
      </c>
      <c r="I17" s="68" t="s">
        <v>295</v>
      </c>
      <c r="J17" s="68"/>
      <c r="K17" s="89" t="s">
        <v>296</v>
      </c>
      <c r="L17" s="89"/>
      <c r="M17" s="89"/>
      <c r="N17" s="89"/>
    </row>
    <row r="18" spans="1:14" ht="24.95" customHeight="1">
      <c r="A18" s="68" t="s">
        <v>187</v>
      </c>
      <c r="B18" s="67">
        <v>39</v>
      </c>
      <c r="C18" s="91">
        <v>3.9</v>
      </c>
      <c r="D18" s="68" t="s">
        <v>180</v>
      </c>
      <c r="F18" s="68">
        <v>7</v>
      </c>
      <c r="G18" s="68" t="s">
        <v>297</v>
      </c>
      <c r="H18" s="68" t="s">
        <v>298</v>
      </c>
      <c r="I18" s="68" t="s">
        <v>295</v>
      </c>
      <c r="J18" s="68"/>
      <c r="K18" s="89" t="s">
        <v>299</v>
      </c>
      <c r="L18" s="89"/>
      <c r="M18" s="89"/>
      <c r="N18" s="89"/>
    </row>
    <row r="19" spans="1:14" ht="24.95" customHeight="1">
      <c r="A19" s="68" t="s">
        <v>172</v>
      </c>
      <c r="B19" s="67">
        <v>126</v>
      </c>
      <c r="C19" s="91">
        <v>4.9000000000000004</v>
      </c>
      <c r="D19" s="68" t="s">
        <v>184</v>
      </c>
      <c r="F19" s="68">
        <v>8</v>
      </c>
      <c r="G19" s="68" t="s">
        <v>300</v>
      </c>
      <c r="H19" s="68" t="s">
        <v>301</v>
      </c>
      <c r="I19" s="68" t="s">
        <v>295</v>
      </c>
      <c r="J19" s="68"/>
      <c r="K19" s="89" t="s">
        <v>302</v>
      </c>
      <c r="L19" s="89"/>
      <c r="M19" s="89"/>
      <c r="N19" s="89"/>
    </row>
    <row r="20" spans="1:14" ht="24.95" customHeight="1">
      <c r="A20" s="68" t="s">
        <v>190</v>
      </c>
      <c r="B20" s="67">
        <v>81</v>
      </c>
      <c r="C20" s="91">
        <v>4.3</v>
      </c>
      <c r="D20" s="68" t="s">
        <v>174</v>
      </c>
      <c r="F20" s="68">
        <v>9</v>
      </c>
      <c r="G20" s="68" t="s">
        <v>303</v>
      </c>
      <c r="H20" s="68" t="s">
        <v>304</v>
      </c>
      <c r="I20" s="68"/>
      <c r="J20" s="68"/>
      <c r="K20" s="89" t="s">
        <v>305</v>
      </c>
      <c r="L20" s="89"/>
      <c r="M20" s="89"/>
      <c r="N20" s="89"/>
    </row>
    <row r="21" spans="1:14" ht="21.95" customHeight="1">
      <c r="A21" s="68" t="s">
        <v>196</v>
      </c>
      <c r="B21" s="67">
        <v>67</v>
      </c>
      <c r="C21" s="91">
        <v>4.5999999999999996</v>
      </c>
      <c r="D21" s="68" t="s">
        <v>180</v>
      </c>
    </row>
    <row r="22" spans="1:14" ht="21.95" customHeight="1">
      <c r="A22" s="68" t="s">
        <v>187</v>
      </c>
      <c r="B22" s="67">
        <v>52</v>
      </c>
      <c r="C22" s="91">
        <v>4</v>
      </c>
      <c r="D22" s="68" t="s">
        <v>191</v>
      </c>
      <c r="F22" s="35" t="s">
        <v>306</v>
      </c>
      <c r="G22" s="35"/>
      <c r="H22" s="35"/>
      <c r="I22" s="39" t="s">
        <v>307</v>
      </c>
      <c r="J22" s="39"/>
      <c r="K22" s="39"/>
      <c r="L22" s="39"/>
      <c r="M22" s="39"/>
      <c r="N22" s="39"/>
    </row>
    <row r="23" spans="1:14" ht="21.95" customHeight="1">
      <c r="A23" s="68" t="s">
        <v>172</v>
      </c>
      <c r="B23" s="67">
        <v>118</v>
      </c>
      <c r="C23" s="91">
        <v>4.7</v>
      </c>
      <c r="D23" s="68" t="s">
        <v>174</v>
      </c>
      <c r="F23" s="1"/>
      <c r="G23" s="1"/>
      <c r="H23" s="1"/>
      <c r="I23" s="1"/>
      <c r="J23" s="1"/>
      <c r="K23" s="1"/>
      <c r="L23" s="1"/>
      <c r="M23" s="62" t="s">
        <v>308</v>
      </c>
      <c r="N23" s="62"/>
    </row>
    <row r="24" spans="1:14" ht="21.95" customHeight="1">
      <c r="F24" s="1"/>
      <c r="G24" s="1"/>
      <c r="H24" s="1"/>
      <c r="I24" s="1"/>
      <c r="J24" s="1"/>
      <c r="K24" s="1"/>
      <c r="L24" s="1"/>
      <c r="M24" s="62"/>
      <c r="N24" s="62"/>
    </row>
    <row r="25" spans="1:14" ht="21.95" customHeight="1">
      <c r="F25" s="1"/>
      <c r="G25" s="1"/>
      <c r="H25" s="1"/>
      <c r="I25" s="1"/>
      <c r="J25" s="1"/>
      <c r="K25" s="1"/>
      <c r="L25" s="1"/>
      <c r="M25" s="62"/>
      <c r="N25" s="62"/>
    </row>
    <row r="26" spans="1:14" ht="21.95" customHeight="1">
      <c r="A26" s="47" t="s">
        <v>309</v>
      </c>
      <c r="B26" s="47"/>
      <c r="C26" s="47"/>
      <c r="D26" s="47"/>
      <c r="F26" s="1"/>
      <c r="G26" s="1"/>
      <c r="H26" s="1"/>
      <c r="I26" s="1"/>
      <c r="J26" s="1"/>
      <c r="K26" s="1"/>
      <c r="L26" s="1"/>
      <c r="M26" s="62"/>
      <c r="N26" s="62"/>
    </row>
    <row r="27" spans="1:14" ht="21.95" customHeight="1">
      <c r="A27" s="16" t="s">
        <v>310</v>
      </c>
      <c r="B27" s="17"/>
      <c r="C27" s="17"/>
      <c r="D27" s="18"/>
      <c r="F27" s="1"/>
      <c r="G27" s="1"/>
      <c r="H27" s="1"/>
      <c r="I27" s="1"/>
      <c r="J27" s="1"/>
      <c r="K27" s="1"/>
      <c r="L27" s="1"/>
      <c r="M27" s="62"/>
      <c r="N27" s="62"/>
    </row>
    <row r="28" spans="1:14" ht="21.95" customHeight="1">
      <c r="A28" s="19"/>
      <c r="B28" s="20"/>
      <c r="C28" s="20"/>
      <c r="D28" s="21"/>
      <c r="F28" s="1"/>
      <c r="G28" s="1"/>
      <c r="H28" s="1"/>
      <c r="I28" s="1"/>
      <c r="J28" s="1"/>
      <c r="K28" s="1"/>
      <c r="L28" s="1"/>
      <c r="M28" s="62"/>
      <c r="N28" s="62"/>
    </row>
    <row r="29" spans="1:14" ht="21.95" customHeight="1">
      <c r="A29" s="19"/>
      <c r="B29" s="20"/>
      <c r="C29" s="20"/>
      <c r="D29" s="21"/>
      <c r="F29" s="10"/>
      <c r="G29" s="10"/>
      <c r="H29" s="10"/>
      <c r="I29" s="1"/>
      <c r="J29" s="1"/>
      <c r="K29" s="1"/>
      <c r="L29" s="1"/>
    </row>
    <row r="30" spans="1:14" ht="21.95" customHeight="1">
      <c r="A30" s="19"/>
      <c r="B30" s="20"/>
      <c r="C30" s="20"/>
      <c r="D30" s="21"/>
      <c r="F30" s="61" t="s">
        <v>311</v>
      </c>
      <c r="G30" s="61"/>
      <c r="H30" s="61"/>
      <c r="I30" s="1"/>
      <c r="J30" s="1"/>
      <c r="K30" s="1"/>
      <c r="L30" s="1"/>
    </row>
    <row r="31" spans="1:14" ht="21.95" customHeight="1">
      <c r="A31" s="19"/>
      <c r="B31" s="20"/>
      <c r="C31" s="20"/>
      <c r="D31" s="21"/>
      <c r="F31" s="61"/>
      <c r="G31" s="61"/>
      <c r="H31" s="61"/>
      <c r="I31" s="1"/>
      <c r="J31" s="1"/>
      <c r="K31" s="1"/>
      <c r="L31" s="1"/>
    </row>
    <row r="32" spans="1:14" ht="21.95" customHeight="1">
      <c r="A32" s="19"/>
      <c r="B32" s="20"/>
      <c r="C32" s="20"/>
      <c r="D32" s="21"/>
      <c r="I32" s="1"/>
      <c r="J32" s="1"/>
      <c r="K32" s="1"/>
      <c r="L32" s="1"/>
    </row>
    <row r="33" spans="1:14" ht="21.95" customHeight="1">
      <c r="A33" s="22"/>
      <c r="B33" s="23"/>
      <c r="C33" s="23"/>
      <c r="D33" s="24"/>
      <c r="I33" s="1"/>
      <c r="J33" s="1"/>
      <c r="K33" s="1"/>
      <c r="L33" s="1"/>
    </row>
    <row r="34" spans="1:14" ht="21.95" customHeight="1">
      <c r="I34" s="1"/>
      <c r="J34" s="1"/>
      <c r="K34" s="1"/>
      <c r="L34" s="1"/>
    </row>
    <row r="35" spans="1:14" ht="21.95" customHeight="1">
      <c r="A35" s="35" t="s">
        <v>312</v>
      </c>
      <c r="B35" s="35"/>
      <c r="C35" s="35"/>
      <c r="D35" s="35"/>
      <c r="I35" s="1"/>
      <c r="J35" s="1"/>
      <c r="K35" s="1"/>
      <c r="L35" s="1"/>
    </row>
    <row r="36" spans="1:14" ht="21.95" customHeight="1">
      <c r="A36" s="48" t="s">
        <v>313</v>
      </c>
      <c r="B36" s="48"/>
      <c r="C36" s="48"/>
      <c r="D36" s="48"/>
      <c r="I36" s="10"/>
      <c r="J36" s="10"/>
      <c r="K36" s="10"/>
      <c r="L36" s="10"/>
    </row>
    <row r="37" spans="1:14" ht="21.95" customHeight="1">
      <c r="A37" s="48"/>
      <c r="B37" s="48"/>
      <c r="C37" s="48"/>
      <c r="D37" s="48"/>
    </row>
    <row r="38" spans="1:14" ht="21.95" customHeight="1">
      <c r="A38" s="48"/>
      <c r="B38" s="48"/>
      <c r="C38" s="48"/>
      <c r="D38" s="48"/>
      <c r="I38" s="45" t="s">
        <v>314</v>
      </c>
      <c r="J38" s="45"/>
      <c r="K38" s="45"/>
      <c r="L38" s="45"/>
      <c r="M38" s="45"/>
      <c r="N38" s="45"/>
    </row>
    <row r="39" spans="1:14" ht="21.95" customHeight="1">
      <c r="A39" s="48"/>
      <c r="B39" s="48"/>
      <c r="C39" s="48"/>
      <c r="D39" s="48"/>
      <c r="I39" s="1"/>
      <c r="J39" s="1"/>
      <c r="K39" s="1"/>
      <c r="L39" s="1"/>
      <c r="M39" s="63" t="s">
        <v>315</v>
      </c>
      <c r="N39" s="63"/>
    </row>
    <row r="40" spans="1:14" ht="21.95" customHeight="1">
      <c r="A40" s="48"/>
      <c r="B40" s="48"/>
      <c r="C40" s="48"/>
      <c r="D40" s="48"/>
      <c r="I40" s="1"/>
      <c r="J40" s="1"/>
      <c r="K40" s="1"/>
      <c r="L40" s="1"/>
      <c r="M40" s="63"/>
      <c r="N40" s="63"/>
    </row>
    <row r="41" spans="1:14" ht="21.95" customHeight="1">
      <c r="A41" s="48"/>
      <c r="B41" s="48"/>
      <c r="C41" s="48"/>
      <c r="D41" s="48"/>
      <c r="I41" s="1"/>
      <c r="J41" s="1"/>
      <c r="K41" s="1"/>
      <c r="L41" s="1"/>
      <c r="M41" s="63"/>
      <c r="N41" s="63"/>
    </row>
    <row r="42" spans="1:14" ht="21.95" customHeight="1">
      <c r="A42" s="48"/>
      <c r="B42" s="48"/>
      <c r="C42" s="48"/>
      <c r="D42" s="48"/>
      <c r="I42" s="1"/>
      <c r="J42" s="1"/>
      <c r="K42" s="1"/>
      <c r="L42" s="1"/>
      <c r="M42" s="63"/>
      <c r="N42" s="63"/>
    </row>
    <row r="43" spans="1:14" ht="21.95" customHeight="1">
      <c r="A43" s="48"/>
      <c r="B43" s="48"/>
      <c r="C43" s="48"/>
      <c r="D43" s="48"/>
      <c r="I43" s="1"/>
      <c r="J43" s="1"/>
      <c r="K43" s="1"/>
      <c r="L43" s="1"/>
      <c r="M43" s="63"/>
      <c r="N43" s="63"/>
    </row>
    <row r="44" spans="1:14" ht="21.95" customHeight="1">
      <c r="I44" s="1"/>
      <c r="J44" s="1"/>
      <c r="K44" s="1"/>
      <c r="L44" s="1"/>
      <c r="M44" s="63"/>
      <c r="N44" s="63"/>
    </row>
    <row r="45" spans="1:14" ht="21.95" customHeight="1">
      <c r="I45" s="1"/>
      <c r="J45" s="1"/>
      <c r="K45" s="1"/>
      <c r="L45" s="1"/>
    </row>
    <row r="46" spans="1:14" ht="21.95" customHeight="1">
      <c r="I46" s="1"/>
      <c r="J46" s="1"/>
      <c r="K46" s="1"/>
      <c r="L46" s="1"/>
    </row>
    <row r="47" spans="1:14" ht="21.95" customHeight="1">
      <c r="I47" s="1"/>
      <c r="J47" s="1"/>
      <c r="K47" s="1"/>
      <c r="L47" s="1"/>
    </row>
    <row r="48" spans="1:14" ht="21.95" customHeight="1">
      <c r="I48" s="1"/>
      <c r="J48" s="1"/>
      <c r="K48" s="1"/>
      <c r="L48" s="1"/>
    </row>
    <row r="49" spans="9:12" ht="21.95" customHeight="1">
      <c r="I49" s="1"/>
      <c r="J49" s="1"/>
      <c r="K49" s="1"/>
      <c r="L49" s="1"/>
    </row>
    <row r="50" spans="9:12" ht="21.95" customHeight="1">
      <c r="I50" s="1"/>
      <c r="J50" s="1"/>
      <c r="K50" s="1"/>
      <c r="L50" s="1"/>
    </row>
    <row r="51" spans="9:12" ht="21.95" customHeight="1">
      <c r="I51" s="10"/>
      <c r="J51" s="10"/>
      <c r="K51" s="10"/>
      <c r="L51" s="10"/>
    </row>
    <row r="52" spans="9:12" ht="21.95" customHeight="1"/>
    <row r="53" spans="9:12" ht="21.95" customHeight="1"/>
    <row r="54" spans="9:12" ht="21.95" customHeight="1"/>
    <row r="55" spans="9:12" ht="21.95" customHeight="1"/>
  </sheetData>
  <mergeCells count="26">
    <mergeCell ref="I38:N38"/>
    <mergeCell ref="M39:N44"/>
    <mergeCell ref="A26:D26"/>
    <mergeCell ref="A27:D33"/>
    <mergeCell ref="A35:D35"/>
    <mergeCell ref="A36:D43"/>
    <mergeCell ref="K20:N20"/>
    <mergeCell ref="F22:H22"/>
    <mergeCell ref="F30:H31"/>
    <mergeCell ref="I22:N22"/>
    <mergeCell ref="M23:N28"/>
    <mergeCell ref="K15:N15"/>
    <mergeCell ref="K16:N16"/>
    <mergeCell ref="K17:N17"/>
    <mergeCell ref="K18:N18"/>
    <mergeCell ref="K19:N19"/>
    <mergeCell ref="A10:D10"/>
    <mergeCell ref="F10:N10"/>
    <mergeCell ref="K12:N12"/>
    <mergeCell ref="K13:N13"/>
    <mergeCell ref="K14:N14"/>
    <mergeCell ref="A1:N2"/>
    <mergeCell ref="A3:N3"/>
    <mergeCell ref="A4:C4"/>
    <mergeCell ref="D4:N4"/>
    <mergeCell ref="A6:N8"/>
  </mergeCells>
  <conditionalFormatting sqref="J12:J16">
    <cfRule type="expression" dxfId="1" priority="1">
      <formula>J12="✓"</formula>
    </cfRule>
    <cfRule type="expression" dxfId="0" priority="2">
      <formula>J12="TRY"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1 OPERATIONS</vt:lpstr>
      <vt:lpstr>2 BASIC FUNCTIONS</vt:lpstr>
      <vt:lpstr>3 MEDIUM FUNCTIONS</vt:lpstr>
      <vt:lpstr>4 DYNAMIC FUNCTIONS</vt:lpstr>
      <vt:lpstr>5 BOSS BATTLE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Hiscocks</dc:creator>
  <cp:lastModifiedBy>Ashley Hiscocks (Archbishop McGrath Catholic High Scho</cp:lastModifiedBy>
  <dcterms:created xsi:type="dcterms:W3CDTF">2026-09-09T09:13:57Z</dcterms:created>
  <dcterms:modified xsi:type="dcterms:W3CDTF">2026-09-09T09:13:57Z</dcterms:modified>
</cp:coreProperties>
</file>